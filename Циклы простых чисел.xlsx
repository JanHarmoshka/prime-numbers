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man\Documents\"/>
    </mc:Choice>
  </mc:AlternateContent>
  <xr:revisionPtr revIDLastSave="0" documentId="13_ncr:1_{E32250A4-1F55-46D6-93AD-CC26F6504CF5}" xr6:coauthVersionLast="47" xr6:coauthVersionMax="47" xr10:uidLastSave="{00000000-0000-0000-0000-000000000000}"/>
  <bookViews>
    <workbookView xWindow="8805" yWindow="1815" windowWidth="25125" windowHeight="18015" xr2:uid="{D00942D1-BC5F-4107-A888-FDC3F432212E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L31" i="1" l="1"/>
  <c r="BL30" i="1"/>
  <c r="BL28" i="1"/>
  <c r="BL27" i="1"/>
  <c r="BL26" i="1"/>
  <c r="BL23" i="1"/>
  <c r="BK31" i="1"/>
  <c r="BK30" i="1"/>
  <c r="BK28" i="1"/>
  <c r="BK27" i="1"/>
  <c r="BK26" i="1"/>
  <c r="BK25" i="1"/>
  <c r="BK23" i="1"/>
  <c r="BK22" i="1"/>
  <c r="BJ31" i="1"/>
  <c r="BJ28" i="1"/>
  <c r="BJ27" i="1"/>
  <c r="BI31" i="1"/>
  <c r="BI30" i="1"/>
  <c r="BI27" i="1"/>
  <c r="BI28" i="1"/>
  <c r="BI26" i="1"/>
  <c r="BI25" i="1"/>
  <c r="BJ23" i="1"/>
  <c r="BI23" i="1"/>
  <c r="BI22" i="1"/>
  <c r="BH31" i="1"/>
  <c r="BH28" i="1"/>
  <c r="BG31" i="1"/>
  <c r="BG30" i="1"/>
  <c r="BG28" i="1"/>
  <c r="BG27" i="1"/>
  <c r="BG26" i="1"/>
  <c r="BG25" i="1"/>
  <c r="AO30" i="1"/>
  <c r="AN25" i="1"/>
  <c r="AM26" i="1"/>
  <c r="AL31" i="1"/>
  <c r="AJ28" i="1"/>
  <c r="AI23" i="1"/>
  <c r="AK27" i="1"/>
  <c r="AL22" i="1"/>
  <c r="O28" i="1"/>
  <c r="O29" i="1"/>
  <c r="P29" i="1" s="1"/>
  <c r="Q29" i="1" s="1"/>
  <c r="R29" i="1" s="1"/>
  <c r="S29" i="1" s="1"/>
  <c r="T29" i="1" s="1"/>
  <c r="U29" i="1" s="1"/>
  <c r="V29" i="1" s="1"/>
  <c r="W29" i="1" s="1"/>
  <c r="X29" i="1" s="1"/>
  <c r="Y29" i="1" s="1"/>
  <c r="Z29" i="1" s="1"/>
  <c r="AA29" i="1" s="1"/>
  <c r="AB29" i="1" s="1"/>
  <c r="AC29" i="1" s="1"/>
  <c r="AD29" i="1" s="1"/>
  <c r="AE29" i="1" s="1"/>
  <c r="AF29" i="1" s="1"/>
  <c r="AG29" i="1" s="1"/>
  <c r="AH29" i="1" s="1"/>
  <c r="AI29" i="1" s="1"/>
  <c r="AJ29" i="1" s="1"/>
  <c r="AK29" i="1" s="1"/>
  <c r="AL29" i="1" s="1"/>
  <c r="AM29" i="1" s="1"/>
  <c r="AN29" i="1" s="1"/>
  <c r="AO29" i="1" s="1"/>
  <c r="AP29" i="1" s="1"/>
  <c r="AQ29" i="1" s="1"/>
  <c r="AR29" i="1" s="1"/>
  <c r="AS29" i="1" s="1"/>
  <c r="AT29" i="1" s="1"/>
  <c r="AU29" i="1" s="1"/>
  <c r="AV29" i="1" s="1"/>
  <c r="AW29" i="1" s="1"/>
  <c r="AX29" i="1" s="1"/>
  <c r="AY29" i="1" s="1"/>
  <c r="AZ29" i="1" s="1"/>
  <c r="BA29" i="1" s="1"/>
  <c r="BB29" i="1" s="1"/>
  <c r="BC29" i="1" s="1"/>
  <c r="O24" i="1"/>
  <c r="P24" i="1" s="1"/>
  <c r="Q24" i="1" s="1"/>
  <c r="R24" i="1" s="1"/>
  <c r="S24" i="1" s="1"/>
  <c r="T24" i="1" s="1"/>
  <c r="U24" i="1" s="1"/>
  <c r="V24" i="1" s="1"/>
  <c r="W24" i="1" s="1"/>
  <c r="X24" i="1" s="1"/>
  <c r="Y24" i="1" s="1"/>
  <c r="Z24" i="1" s="1"/>
  <c r="AA24" i="1" s="1"/>
  <c r="AB24" i="1" s="1"/>
  <c r="AC24" i="1" s="1"/>
  <c r="AD24" i="1" s="1"/>
  <c r="AE24" i="1" s="1"/>
  <c r="AF24" i="1" s="1"/>
  <c r="AG24" i="1" s="1"/>
  <c r="AH24" i="1" s="1"/>
  <c r="AI24" i="1" s="1"/>
  <c r="AJ24" i="1" s="1"/>
  <c r="AK24" i="1" s="1"/>
  <c r="AL24" i="1" s="1"/>
  <c r="AM24" i="1" s="1"/>
  <c r="AN24" i="1" s="1"/>
  <c r="AO24" i="1" s="1"/>
  <c r="AP24" i="1" s="1"/>
  <c r="AQ24" i="1" s="1"/>
  <c r="AR24" i="1" s="1"/>
  <c r="AS24" i="1" s="1"/>
  <c r="AT24" i="1" s="1"/>
  <c r="AU24" i="1" s="1"/>
  <c r="AV24" i="1" s="1"/>
  <c r="AW24" i="1" s="1"/>
  <c r="AX24" i="1" s="1"/>
  <c r="AY24" i="1" s="1"/>
  <c r="AZ24" i="1" s="1"/>
  <c r="BA24" i="1" s="1"/>
  <c r="BB24" i="1" s="1"/>
  <c r="BC24" i="1" s="1"/>
  <c r="O21" i="1"/>
  <c r="P21" i="1" s="1"/>
  <c r="Q21" i="1" s="1"/>
  <c r="R21" i="1" s="1"/>
  <c r="S21" i="1" s="1"/>
  <c r="T21" i="1" s="1"/>
  <c r="U21" i="1" s="1"/>
  <c r="V21" i="1" s="1"/>
  <c r="W21" i="1" s="1"/>
  <c r="X21" i="1" s="1"/>
  <c r="Y21" i="1" s="1"/>
  <c r="Z21" i="1" s="1"/>
  <c r="AA21" i="1" s="1"/>
  <c r="AB21" i="1" s="1"/>
  <c r="AC21" i="1" s="1"/>
  <c r="AD21" i="1" s="1"/>
  <c r="AE21" i="1" s="1"/>
  <c r="AF21" i="1" s="1"/>
  <c r="AG21" i="1" s="1"/>
  <c r="AH21" i="1" s="1"/>
  <c r="AI21" i="1" s="1"/>
  <c r="AJ21" i="1" s="1"/>
  <c r="AK21" i="1" s="1"/>
  <c r="AL21" i="1" s="1"/>
  <c r="AM21" i="1" s="1"/>
  <c r="AN21" i="1" s="1"/>
  <c r="AO21" i="1" s="1"/>
  <c r="AP21" i="1" s="1"/>
  <c r="AQ21" i="1" s="1"/>
  <c r="AR21" i="1" s="1"/>
  <c r="AS21" i="1" s="1"/>
  <c r="AT21" i="1" s="1"/>
  <c r="AU21" i="1" s="1"/>
  <c r="AV21" i="1" s="1"/>
  <c r="AW21" i="1" s="1"/>
  <c r="AX21" i="1" s="1"/>
  <c r="AY21" i="1" s="1"/>
  <c r="AZ21" i="1" s="1"/>
  <c r="BA21" i="1" s="1"/>
  <c r="BB21" i="1" s="1"/>
  <c r="BC21" i="1" s="1"/>
</calcChain>
</file>

<file path=xl/sharedStrings.xml><?xml version="1.0" encoding="utf-8"?>
<sst xmlns="http://schemas.openxmlformats.org/spreadsheetml/2006/main" count="9" uniqueCount="6">
  <si>
    <t>Сумма цифр в числе</t>
  </si>
  <si>
    <t>Последняя цифра числа</t>
  </si>
  <si>
    <t>1+3n</t>
  </si>
  <si>
    <t>2+3n</t>
  </si>
  <si>
    <t>3+3n</t>
  </si>
  <si>
    <t>n=0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</si>
</sst>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color theme="7" tint="-0.249977111117893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theme="9" tint="0.39994506668294322"/>
      </left>
      <right/>
      <top style="medium">
        <color indexed="64"/>
      </top>
      <bottom/>
      <diagonal/>
    </border>
    <border>
      <left style="medium">
        <color theme="9" tint="0.39994506668294322"/>
      </left>
      <right/>
      <top/>
      <bottom/>
      <diagonal/>
    </border>
    <border>
      <left style="medium">
        <color theme="9" tint="0.39994506668294322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1" fontId="0" fillId="2" borderId="0" xfId="0" applyNumberFormat="1" applyFill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4" fillId="0" borderId="0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164" fontId="5" fillId="0" borderId="0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0" xfId="0"/>
    <xf numFmtId="1" fontId="0" fillId="0" borderId="4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 wrapText="1"/>
    </xf>
    <xf numFmtId="1" fontId="0" fillId="2" borderId="0" xfId="0" applyNumberFormat="1" applyFill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1" fontId="0" fillId="0" borderId="0" xfId="0" applyNumberFormat="1" applyBorder="1" applyAlignment="1">
      <alignment horizontal="right" vertical="center"/>
    </xf>
    <xf numFmtId="1" fontId="1" fillId="0" borderId="0" xfId="0" applyNumberFormat="1" applyFont="1" applyBorder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1" fontId="0" fillId="2" borderId="7" xfId="0" applyNumberFormat="1" applyFill="1" applyBorder="1" applyAlignment="1">
      <alignment horizontal="center" vertical="center"/>
    </xf>
    <xf numFmtId="1" fontId="0" fillId="0" borderId="7" xfId="0" applyNumberFormat="1" applyBorder="1" applyAlignment="1">
      <alignment horizontal="right" vertical="center"/>
    </xf>
    <xf numFmtId="1" fontId="1" fillId="0" borderId="7" xfId="0" applyNumberFormat="1" applyFont="1" applyBorder="1" applyAlignment="1">
      <alignment horizontal="right" vertical="center"/>
    </xf>
    <xf numFmtId="1" fontId="1" fillId="0" borderId="8" xfId="0" applyNumberFormat="1" applyFont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" fontId="1" fillId="0" borderId="3" xfId="0" applyNumberFormat="1" applyFont="1" applyBorder="1" applyAlignment="1">
      <alignment horizontal="right" vertical="center"/>
    </xf>
    <xf numFmtId="1" fontId="0" fillId="6" borderId="1" xfId="0" applyNumberFormat="1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 vertical="center"/>
    </xf>
    <xf numFmtId="1" fontId="0" fillId="6" borderId="3" xfId="0" applyNumberFormat="1" applyFill="1" applyBorder="1" applyAlignment="1">
      <alignment horizontal="center" vertical="center"/>
    </xf>
    <xf numFmtId="1" fontId="0" fillId="6" borderId="4" xfId="0" applyNumberFormat="1" applyFill="1" applyBorder="1" applyAlignment="1">
      <alignment horizontal="center" vertical="center"/>
    </xf>
    <xf numFmtId="1" fontId="0" fillId="6" borderId="0" xfId="0" applyNumberFormat="1" applyFill="1" applyBorder="1" applyAlignment="1">
      <alignment horizontal="center" vertical="center"/>
    </xf>
    <xf numFmtId="1" fontId="0" fillId="6" borderId="5" xfId="0" applyNumberFormat="1" applyFill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1" fontId="0" fillId="0" borderId="8" xfId="0" applyNumberFormat="1" applyFill="1" applyBorder="1" applyAlignment="1">
      <alignment horizontal="center" vertical="center"/>
    </xf>
    <xf numFmtId="1" fontId="0" fillId="0" borderId="3" xfId="0" applyNumberFormat="1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" fontId="6" fillId="0" borderId="12" xfId="0" applyNumberFormat="1" applyFont="1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1" fontId="0" fillId="6" borderId="4" xfId="0" applyNumberFormat="1" applyFill="1" applyBorder="1" applyAlignment="1">
      <alignment horizontal="center" vertical="center"/>
    </xf>
    <xf numFmtId="1" fontId="0" fillId="6" borderId="0" xfId="0" applyNumberFormat="1" applyFill="1" applyBorder="1" applyAlignment="1">
      <alignment horizontal="center" vertical="center"/>
    </xf>
    <xf numFmtId="1" fontId="0" fillId="6" borderId="5" xfId="0" applyNumberForma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" fontId="0" fillId="0" borderId="12" xfId="0" applyNumberFormat="1" applyFill="1" applyBorder="1" applyAlignment="1">
      <alignment horizontal="center" vertical="center"/>
    </xf>
    <xf numFmtId="1" fontId="0" fillId="7" borderId="7" xfId="0" applyNumberFormat="1" applyFill="1" applyBorder="1" applyAlignment="1">
      <alignment horizontal="center" vertical="center"/>
    </xf>
    <xf numFmtId="1" fontId="0" fillId="7" borderId="12" xfId="0" applyNumberFormat="1" applyFill="1" applyBorder="1" applyAlignment="1">
      <alignment horizontal="center" vertical="center"/>
    </xf>
    <xf numFmtId="1" fontId="0" fillId="0" borderId="7" xfId="0" applyNumberFormat="1" applyFill="1" applyBorder="1" applyAlignment="1">
      <alignment horizontal="center" vertical="center"/>
    </xf>
    <xf numFmtId="0" fontId="0" fillId="0" borderId="0" xfId="0" applyAlignment="1"/>
    <xf numFmtId="1" fontId="6" fillId="8" borderId="4" xfId="0" applyNumberFormat="1" applyFont="1" applyFill="1" applyBorder="1" applyAlignment="1">
      <alignment horizontal="center" vertical="center"/>
    </xf>
    <xf numFmtId="1" fontId="2" fillId="8" borderId="0" xfId="0" applyNumberFormat="1" applyFont="1" applyFill="1" applyBorder="1" applyAlignment="1">
      <alignment horizontal="center" vertical="center"/>
    </xf>
    <xf numFmtId="1" fontId="2" fillId="8" borderId="8" xfId="0" applyNumberFormat="1" applyFont="1" applyFill="1" applyBorder="1" applyAlignment="1">
      <alignment horizontal="center" vertical="center"/>
    </xf>
    <xf numFmtId="1" fontId="2" fillId="8" borderId="5" xfId="0" applyNumberFormat="1" applyFont="1" applyFill="1" applyBorder="1" applyAlignment="1">
      <alignment horizontal="center" vertical="center"/>
    </xf>
    <xf numFmtId="1" fontId="0" fillId="8" borderId="0" xfId="0" applyNumberFormat="1" applyFill="1" applyBorder="1" applyAlignment="1">
      <alignment horizontal="center" vertical="center"/>
    </xf>
    <xf numFmtId="1" fontId="1" fillId="8" borderId="7" xfId="0" applyNumberFormat="1" applyFont="1" applyFill="1" applyBorder="1" applyAlignment="1">
      <alignment horizontal="center" vertical="center"/>
    </xf>
    <xf numFmtId="1" fontId="0" fillId="8" borderId="4" xfId="0" applyNumberFormat="1" applyFill="1" applyBorder="1" applyAlignment="1">
      <alignment horizontal="center" vertical="center"/>
    </xf>
    <xf numFmtId="1" fontId="0" fillId="6" borderId="13" xfId="0" applyNumberFormat="1" applyFill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1" fontId="0" fillId="6" borderId="14" xfId="0" applyNumberFormat="1" applyFill="1" applyBorder="1" applyAlignment="1">
      <alignment horizontal="center" vertical="center"/>
    </xf>
    <xf numFmtId="1" fontId="2" fillId="8" borderId="14" xfId="0" applyNumberFormat="1" applyFon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" fontId="0" fillId="8" borderId="14" xfId="0" applyNumberFormat="1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6" fillId="8" borderId="2" xfId="0" applyNumberFormat="1" applyFont="1" applyFill="1" applyBorder="1" applyAlignment="1">
      <alignment horizontal="center" vertical="center"/>
    </xf>
    <xf numFmtId="1" fontId="6" fillId="8" borderId="7" xfId="0" applyNumberFormat="1" applyFont="1" applyFill="1" applyBorder="1" applyAlignment="1">
      <alignment horizontal="center" vertical="center"/>
    </xf>
    <xf numFmtId="1" fontId="0" fillId="8" borderId="5" xfId="0" applyNumberFormat="1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" fontId="0" fillId="9" borderId="10" xfId="0" applyNumberFormat="1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" fontId="0" fillId="9" borderId="10" xfId="0" applyNumberFormat="1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1" fontId="7" fillId="0" borderId="4" xfId="0" applyNumberFormat="1" applyFont="1" applyBorder="1" applyAlignment="1">
      <alignment horizontal="center" vertical="center"/>
    </xf>
    <xf numFmtId="1" fontId="7" fillId="0" borderId="0" xfId="0" applyNumberFormat="1" applyFont="1" applyBorder="1" applyAlignment="1">
      <alignment horizontal="center" vertical="center"/>
    </xf>
    <xf numFmtId="1" fontId="7" fillId="8" borderId="0" xfId="0" applyNumberFormat="1" applyFont="1" applyFill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14" xfId="0" applyNumberFormat="1" applyFont="1" applyFill="1" applyBorder="1" applyAlignment="1">
      <alignment horizontal="center" vertical="center"/>
    </xf>
    <xf numFmtId="1" fontId="7" fillId="0" borderId="4" xfId="0" applyNumberFormat="1" applyFont="1" applyFill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1" fontId="7" fillId="0" borderId="5" xfId="0" applyNumberFormat="1" applyFont="1" applyFill="1" applyBorder="1" applyAlignment="1">
      <alignment horizontal="center" vertical="center"/>
    </xf>
    <xf numFmtId="1" fontId="7" fillId="8" borderId="4" xfId="0" applyNumberFormat="1" applyFont="1" applyFill="1" applyBorder="1" applyAlignment="1">
      <alignment horizontal="center" vertical="center"/>
    </xf>
    <xf numFmtId="1" fontId="7" fillId="0" borderId="0" xfId="0" applyNumberFormat="1" applyFont="1" applyFill="1" applyBorder="1" applyAlignment="1">
      <alignment horizontal="center" vertical="center"/>
    </xf>
    <xf numFmtId="1" fontId="7" fillId="8" borderId="14" xfId="0" applyNumberFormat="1" applyFont="1" applyFill="1" applyBorder="1" applyAlignment="1">
      <alignment horizontal="center" vertical="center"/>
    </xf>
    <xf numFmtId="1" fontId="7" fillId="0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55F36-C5CA-4D66-A746-D1E7FE448578}">
  <dimension ref="L3:CL61"/>
  <sheetViews>
    <sheetView tabSelected="1" topLeftCell="K14" zoomScale="85" zoomScaleNormal="85" workbookViewId="0">
      <selection activeCell="BA38" sqref="BA38"/>
    </sheetView>
  </sheetViews>
  <sheetFormatPr defaultColWidth="5" defaultRowHeight="15" x14ac:dyDescent="0.25"/>
  <cols>
    <col min="1" max="16384" width="5" style="2"/>
  </cols>
  <sheetData>
    <row r="3" spans="12:62" x14ac:dyDescent="0.25"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</row>
    <row r="4" spans="12:62" x14ac:dyDescent="0.25"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</row>
    <row r="5" spans="12:62" x14ac:dyDescent="0.25"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</row>
    <row r="6" spans="12:62" x14ac:dyDescent="0.25"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</row>
    <row r="7" spans="12:62" x14ac:dyDescent="0.25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</row>
    <row r="8" spans="12:62" x14ac:dyDescent="0.25"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12:62" x14ac:dyDescent="0.25"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</row>
    <row r="10" spans="12:62" x14ac:dyDescent="0.25"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</row>
    <row r="11" spans="12:62" x14ac:dyDescent="0.25"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12:62" x14ac:dyDescent="0.25"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12:62" x14ac:dyDescent="0.25"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</row>
    <row r="14" spans="12:62" x14ac:dyDescent="0.25"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 s="109"/>
      <c r="AH14" s="109"/>
      <c r="AI14" s="109"/>
      <c r="AJ14" s="109"/>
      <c r="AK14"/>
      <c r="AL14"/>
      <c r="AM14"/>
      <c r="AN14"/>
      <c r="AO14"/>
      <c r="AP14"/>
      <c r="AQ14"/>
      <c r="AR14"/>
      <c r="AS14"/>
      <c r="AT14"/>
      <c r="AU14"/>
      <c r="AV14"/>
      <c r="AW14"/>
    </row>
    <row r="15" spans="12:62" x14ac:dyDescent="0.25">
      <c r="L15" s="109"/>
      <c r="M15" s="31"/>
      <c r="N15" s="109"/>
      <c r="O15" s="31"/>
      <c r="P15" s="109"/>
      <c r="Q15" s="31"/>
      <c r="R15" s="31"/>
      <c r="S15" s="31"/>
      <c r="T15" s="31"/>
      <c r="U15" s="31"/>
      <c r="V15" s="109"/>
      <c r="W15" s="31"/>
      <c r="X15" s="109"/>
      <c r="Y15" s="109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2:62" x14ac:dyDescent="0.25">
      <c r="L16" s="109"/>
      <c r="M16" s="31"/>
      <c r="N16" s="109"/>
      <c r="O16" s="31"/>
      <c r="P16" s="109"/>
      <c r="Q16" s="31"/>
      <c r="R16" s="31"/>
      <c r="S16" s="31"/>
      <c r="T16" s="31"/>
      <c r="U16" s="31"/>
      <c r="V16" s="109"/>
      <c r="W16" s="31"/>
      <c r="X16" s="109"/>
      <c r="Y16" s="109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2:64" ht="15.75" thickBot="1" x14ac:dyDescent="0.3"/>
    <row r="18" spans="12:64" ht="15" customHeight="1" x14ac:dyDescent="0.25">
      <c r="L18" s="42">
        <v>7</v>
      </c>
      <c r="N18" s="43">
        <v>1</v>
      </c>
      <c r="O18" s="50">
        <v>7</v>
      </c>
      <c r="P18" s="125">
        <v>11</v>
      </c>
      <c r="Q18" s="95">
        <v>13</v>
      </c>
      <c r="R18" s="77">
        <v>19</v>
      </c>
      <c r="S18" s="45">
        <v>23</v>
      </c>
      <c r="T18" s="40">
        <v>29</v>
      </c>
      <c r="U18" s="43">
        <v>31</v>
      </c>
      <c r="V18" s="45">
        <v>37</v>
      </c>
      <c r="W18" s="45">
        <v>41</v>
      </c>
      <c r="X18" s="96">
        <v>43</v>
      </c>
      <c r="Y18" s="82">
        <v>49</v>
      </c>
      <c r="Z18" s="45">
        <v>53</v>
      </c>
      <c r="AA18" s="40">
        <v>59</v>
      </c>
      <c r="AB18" s="43">
        <v>61</v>
      </c>
      <c r="AC18" s="45">
        <v>67</v>
      </c>
      <c r="AD18" s="45">
        <v>71</v>
      </c>
      <c r="AE18" s="105">
        <v>73</v>
      </c>
      <c r="AF18" s="45">
        <v>79</v>
      </c>
      <c r="AG18" s="45">
        <v>83</v>
      </c>
      <c r="AH18" s="40">
        <v>89</v>
      </c>
      <c r="AI18" s="84">
        <v>91</v>
      </c>
      <c r="AJ18" s="45">
        <v>97</v>
      </c>
      <c r="AK18" s="45">
        <v>101</v>
      </c>
      <c r="AL18" s="96">
        <v>107</v>
      </c>
      <c r="AM18" s="45">
        <v>109</v>
      </c>
      <c r="AN18" s="45">
        <v>113</v>
      </c>
      <c r="AO18" s="86">
        <v>119</v>
      </c>
      <c r="AP18" s="88">
        <v>121</v>
      </c>
      <c r="AQ18" s="45">
        <v>127</v>
      </c>
      <c r="AR18" s="45">
        <v>131</v>
      </c>
      <c r="AS18" s="107">
        <v>133</v>
      </c>
      <c r="AT18" s="45">
        <v>139</v>
      </c>
      <c r="AU18" s="90">
        <v>143</v>
      </c>
      <c r="AV18" s="92">
        <v>149</v>
      </c>
      <c r="AW18" s="94">
        <v>151</v>
      </c>
      <c r="AX18" s="45">
        <v>157</v>
      </c>
      <c r="AY18" s="90">
        <v>161</v>
      </c>
      <c r="AZ18" s="96">
        <v>163</v>
      </c>
      <c r="BA18" s="90">
        <v>169</v>
      </c>
      <c r="BB18" s="45">
        <v>173</v>
      </c>
      <c r="BC18" s="92">
        <v>179</v>
      </c>
      <c r="BD18" s="53"/>
      <c r="BE18" s="53"/>
      <c r="BF18" s="53"/>
    </row>
    <row r="19" spans="12:64" ht="15.75" thickBot="1" x14ac:dyDescent="0.3">
      <c r="L19" s="42"/>
      <c r="N19" s="49"/>
      <c r="O19" s="51"/>
      <c r="P19" s="126"/>
      <c r="Q19" s="79">
        <v>17</v>
      </c>
      <c r="R19" s="78"/>
      <c r="S19" s="47"/>
      <c r="T19" s="48"/>
      <c r="U19" s="49"/>
      <c r="V19" s="47"/>
      <c r="W19" s="47"/>
      <c r="X19" s="17">
        <v>47</v>
      </c>
      <c r="Y19" s="81"/>
      <c r="Z19" s="47"/>
      <c r="AA19" s="48"/>
      <c r="AB19" s="49"/>
      <c r="AC19" s="47"/>
      <c r="AD19" s="47"/>
      <c r="AE19" s="106">
        <v>77</v>
      </c>
      <c r="AF19" s="47"/>
      <c r="AG19" s="47"/>
      <c r="AH19" s="48"/>
      <c r="AI19" s="83"/>
      <c r="AJ19" s="47"/>
      <c r="AK19" s="47"/>
      <c r="AL19" s="17">
        <v>103</v>
      </c>
      <c r="AM19" s="47"/>
      <c r="AN19" s="47"/>
      <c r="AO19" s="85"/>
      <c r="AP19" s="87"/>
      <c r="AQ19" s="47"/>
      <c r="AR19" s="47"/>
      <c r="AS19" s="108">
        <v>137</v>
      </c>
      <c r="AT19" s="47"/>
      <c r="AU19" s="89"/>
      <c r="AV19" s="91"/>
      <c r="AW19" s="93"/>
      <c r="AX19" s="47"/>
      <c r="AY19" s="89"/>
      <c r="AZ19" s="17">
        <v>167</v>
      </c>
      <c r="BA19" s="89"/>
      <c r="BB19" s="47"/>
      <c r="BC19" s="91"/>
      <c r="BD19" s="53"/>
      <c r="BE19" s="53"/>
      <c r="BF19" s="53"/>
    </row>
    <row r="20" spans="12:64" ht="15.75" thickBot="1" x14ac:dyDescent="0.3"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BE20" s="54" t="s">
        <v>1</v>
      </c>
      <c r="BF20" s="55"/>
      <c r="BG20" s="55"/>
      <c r="BH20" s="50" t="s">
        <v>0</v>
      </c>
      <c r="BI20" s="50"/>
      <c r="BJ20" s="50"/>
      <c r="BK20" s="50"/>
      <c r="BL20" s="56"/>
    </row>
    <row r="21" spans="12:64" ht="15.75" thickBot="1" x14ac:dyDescent="0.3">
      <c r="N21" s="70">
        <v>0</v>
      </c>
      <c r="O21" s="71">
        <f>(N21+3)*10</f>
        <v>30</v>
      </c>
      <c r="P21" s="71">
        <f>(O21/10+3)*10</f>
        <v>60</v>
      </c>
      <c r="Q21" s="71">
        <f t="shared" ref="Q21:BC21" si="0">(P21/10+3)*10</f>
        <v>90</v>
      </c>
      <c r="R21" s="71">
        <f t="shared" si="0"/>
        <v>120</v>
      </c>
      <c r="S21" s="71">
        <f t="shared" si="0"/>
        <v>150</v>
      </c>
      <c r="T21" s="72">
        <f t="shared" si="0"/>
        <v>180</v>
      </c>
      <c r="U21" s="70">
        <f t="shared" si="0"/>
        <v>210</v>
      </c>
      <c r="V21" s="71">
        <f t="shared" si="0"/>
        <v>240</v>
      </c>
      <c r="W21" s="71">
        <f t="shared" si="0"/>
        <v>270</v>
      </c>
      <c r="X21" s="71">
        <f t="shared" si="0"/>
        <v>300</v>
      </c>
      <c r="Y21" s="117">
        <f t="shared" si="0"/>
        <v>330</v>
      </c>
      <c r="Z21" s="71">
        <f t="shared" si="0"/>
        <v>360</v>
      </c>
      <c r="AA21" s="72">
        <f t="shared" si="0"/>
        <v>390</v>
      </c>
      <c r="AB21" s="70">
        <f t="shared" si="0"/>
        <v>420</v>
      </c>
      <c r="AC21" s="71">
        <f t="shared" si="0"/>
        <v>450</v>
      </c>
      <c r="AD21" s="71">
        <f t="shared" si="0"/>
        <v>480</v>
      </c>
      <c r="AE21" s="71">
        <f t="shared" si="0"/>
        <v>510</v>
      </c>
      <c r="AF21" s="71">
        <f t="shared" si="0"/>
        <v>540</v>
      </c>
      <c r="AG21" s="71">
        <f t="shared" si="0"/>
        <v>570</v>
      </c>
      <c r="AH21" s="72">
        <f t="shared" si="0"/>
        <v>600</v>
      </c>
      <c r="AI21" s="70">
        <f t="shared" si="0"/>
        <v>630</v>
      </c>
      <c r="AJ21" s="71">
        <f t="shared" si="0"/>
        <v>660</v>
      </c>
      <c r="AK21" s="71">
        <f t="shared" si="0"/>
        <v>690</v>
      </c>
      <c r="AL21" s="71">
        <f t="shared" si="0"/>
        <v>720</v>
      </c>
      <c r="AM21" s="71">
        <f t="shared" si="0"/>
        <v>750</v>
      </c>
      <c r="AN21" s="71">
        <f t="shared" si="0"/>
        <v>780</v>
      </c>
      <c r="AO21" s="72">
        <f t="shared" si="0"/>
        <v>810</v>
      </c>
      <c r="AP21" s="70">
        <f t="shared" si="0"/>
        <v>840</v>
      </c>
      <c r="AQ21" s="71">
        <f t="shared" si="0"/>
        <v>870</v>
      </c>
      <c r="AR21" s="71">
        <f t="shared" si="0"/>
        <v>900</v>
      </c>
      <c r="AS21" s="71">
        <f t="shared" si="0"/>
        <v>930</v>
      </c>
      <c r="AT21" s="71">
        <f t="shared" si="0"/>
        <v>960</v>
      </c>
      <c r="AU21" s="117">
        <f t="shared" si="0"/>
        <v>990</v>
      </c>
      <c r="AV21" s="72">
        <f t="shared" si="0"/>
        <v>1020</v>
      </c>
      <c r="AW21" s="70">
        <f t="shared" si="0"/>
        <v>1050</v>
      </c>
      <c r="AX21" s="71">
        <f t="shared" si="0"/>
        <v>1080</v>
      </c>
      <c r="AY21" s="71">
        <f t="shared" si="0"/>
        <v>1110</v>
      </c>
      <c r="AZ21" s="71">
        <f t="shared" si="0"/>
        <v>1140</v>
      </c>
      <c r="BA21" s="71">
        <f t="shared" si="0"/>
        <v>1170</v>
      </c>
      <c r="BB21" s="71">
        <f t="shared" si="0"/>
        <v>1200</v>
      </c>
      <c r="BC21" s="72">
        <f t="shared" si="0"/>
        <v>1230</v>
      </c>
      <c r="BE21" s="57"/>
      <c r="BF21" s="58"/>
      <c r="BG21" s="58"/>
      <c r="BH21" s="51"/>
      <c r="BI21" s="51"/>
      <c r="BJ21" s="51"/>
      <c r="BK21" s="51"/>
      <c r="BL21" s="76"/>
    </row>
    <row r="22" spans="12:64" x14ac:dyDescent="0.25">
      <c r="L22" s="7">
        <v>1</v>
      </c>
      <c r="N22" s="8">
        <v>1</v>
      </c>
      <c r="O22" s="9">
        <v>31</v>
      </c>
      <c r="P22" s="9">
        <v>61</v>
      </c>
      <c r="Q22" s="137">
        <v>7</v>
      </c>
      <c r="R22" s="111"/>
      <c r="S22" s="9">
        <v>151</v>
      </c>
      <c r="T22" s="11">
        <v>181</v>
      </c>
      <c r="U22" s="8">
        <v>211</v>
      </c>
      <c r="V22" s="9">
        <v>241</v>
      </c>
      <c r="W22" s="9">
        <v>271</v>
      </c>
      <c r="X22" s="137">
        <v>7</v>
      </c>
      <c r="Y22" s="118">
        <v>331</v>
      </c>
      <c r="Z22" s="24"/>
      <c r="AA22" s="26"/>
      <c r="AB22" s="8"/>
      <c r="AC22" s="114"/>
      <c r="AD22" s="12"/>
      <c r="AE22" s="137">
        <v>7</v>
      </c>
      <c r="AF22" s="9"/>
      <c r="AG22" s="9"/>
      <c r="AH22" s="11"/>
      <c r="AI22" s="8"/>
      <c r="AJ22" s="118"/>
      <c r="AK22" s="9"/>
      <c r="AL22" s="137">
        <f>721/$O$18</f>
        <v>103</v>
      </c>
      <c r="AM22" s="9"/>
      <c r="AN22" s="114"/>
      <c r="AO22" s="11"/>
      <c r="AP22" s="8"/>
      <c r="AQ22" s="9"/>
      <c r="AR22" s="9"/>
      <c r="AS22" s="146">
        <v>7</v>
      </c>
      <c r="AT22" s="9"/>
      <c r="AU22" s="118"/>
      <c r="AV22" s="11"/>
      <c r="AW22" s="32"/>
      <c r="AX22" s="33"/>
      <c r="AY22" s="114"/>
      <c r="AZ22" s="137">
        <v>7</v>
      </c>
      <c r="BA22" s="33"/>
      <c r="BB22" s="33"/>
      <c r="BC22" s="37"/>
      <c r="BE22" s="29"/>
      <c r="BF22" s="6">
        <v>1</v>
      </c>
      <c r="BG22" s="68">
        <v>1</v>
      </c>
      <c r="BH22" s="68"/>
      <c r="BI22" s="68">
        <f>3+1</f>
        <v>4</v>
      </c>
      <c r="BJ22" s="68"/>
      <c r="BK22" s="68">
        <f>6+1</f>
        <v>7</v>
      </c>
      <c r="BL22" s="69"/>
    </row>
    <row r="23" spans="12:64" x14ac:dyDescent="0.25">
      <c r="L23" s="7">
        <v>7</v>
      </c>
      <c r="N23" s="136">
        <v>7</v>
      </c>
      <c r="O23" s="9">
        <v>37</v>
      </c>
      <c r="P23" s="9">
        <v>67</v>
      </c>
      <c r="Q23" s="9">
        <v>97</v>
      </c>
      <c r="R23" s="9">
        <v>127</v>
      </c>
      <c r="S23" s="9">
        <v>157</v>
      </c>
      <c r="T23" s="113"/>
      <c r="U23" s="136">
        <v>7</v>
      </c>
      <c r="V23" s="12"/>
      <c r="W23" s="9">
        <v>277</v>
      </c>
      <c r="X23" s="9">
        <v>307</v>
      </c>
      <c r="Y23" s="118">
        <v>337</v>
      </c>
      <c r="Z23" s="9">
        <v>367</v>
      </c>
      <c r="AA23" s="11">
        <v>397</v>
      </c>
      <c r="AB23" s="136">
        <v>7</v>
      </c>
      <c r="AC23" s="9"/>
      <c r="AD23" s="9"/>
      <c r="AE23" s="114"/>
      <c r="AF23" s="9"/>
      <c r="AG23" s="9"/>
      <c r="AH23" s="11"/>
      <c r="AI23" s="142">
        <f>637/$O$18</f>
        <v>91</v>
      </c>
      <c r="AJ23" s="118"/>
      <c r="AK23" s="9"/>
      <c r="AL23" s="9"/>
      <c r="AM23" s="9"/>
      <c r="AN23" s="9"/>
      <c r="AO23" s="11"/>
      <c r="AP23" s="145">
        <v>7</v>
      </c>
      <c r="AQ23" s="9"/>
      <c r="AR23" s="9"/>
      <c r="AS23" s="9"/>
      <c r="AT23" s="9"/>
      <c r="AU23" s="118"/>
      <c r="AV23" s="11"/>
      <c r="AW23" s="136">
        <v>7</v>
      </c>
      <c r="AX23" s="33"/>
      <c r="AY23" s="33"/>
      <c r="AZ23" s="33"/>
      <c r="BA23" s="114"/>
      <c r="BB23" s="33"/>
      <c r="BC23" s="37"/>
      <c r="BE23" s="32"/>
      <c r="BF23" s="13">
        <v>7</v>
      </c>
      <c r="BG23" s="59">
        <v>7</v>
      </c>
      <c r="BH23" s="59"/>
      <c r="BI23" s="61">
        <f>3+7</f>
        <v>10</v>
      </c>
      <c r="BJ23" s="62">
        <f>1+0</f>
        <v>1</v>
      </c>
      <c r="BK23" s="61">
        <f>6+7</f>
        <v>13</v>
      </c>
      <c r="BL23" s="63">
        <f>1+3</f>
        <v>4</v>
      </c>
    </row>
    <row r="24" spans="12:64" x14ac:dyDescent="0.25">
      <c r="N24" s="73">
        <v>10</v>
      </c>
      <c r="O24" s="74">
        <f>(N24/10+3)*10</f>
        <v>40</v>
      </c>
      <c r="P24" s="74">
        <f>(O24/10+3)*10</f>
        <v>70</v>
      </c>
      <c r="Q24" s="74">
        <f t="shared" ref="Q24:BC24" si="1">(P24/10+3)*10</f>
        <v>100</v>
      </c>
      <c r="R24" s="74">
        <f t="shared" si="1"/>
        <v>130</v>
      </c>
      <c r="S24" s="74">
        <f t="shared" si="1"/>
        <v>160</v>
      </c>
      <c r="T24" s="75">
        <f t="shared" si="1"/>
        <v>190</v>
      </c>
      <c r="U24" s="73">
        <f t="shared" si="1"/>
        <v>220</v>
      </c>
      <c r="V24" s="74">
        <f t="shared" si="1"/>
        <v>250</v>
      </c>
      <c r="W24" s="74">
        <f t="shared" si="1"/>
        <v>280</v>
      </c>
      <c r="X24" s="74">
        <f t="shared" si="1"/>
        <v>310</v>
      </c>
      <c r="Y24" s="119">
        <f t="shared" si="1"/>
        <v>340</v>
      </c>
      <c r="Z24" s="74">
        <f t="shared" si="1"/>
        <v>370</v>
      </c>
      <c r="AA24" s="75">
        <f t="shared" si="1"/>
        <v>400</v>
      </c>
      <c r="AB24" s="73">
        <f t="shared" si="1"/>
        <v>430</v>
      </c>
      <c r="AC24" s="74">
        <f t="shared" si="1"/>
        <v>460</v>
      </c>
      <c r="AD24" s="74">
        <f t="shared" si="1"/>
        <v>490</v>
      </c>
      <c r="AE24" s="74">
        <f t="shared" si="1"/>
        <v>520</v>
      </c>
      <c r="AF24" s="74">
        <f t="shared" si="1"/>
        <v>550</v>
      </c>
      <c r="AG24" s="74">
        <f t="shared" si="1"/>
        <v>580</v>
      </c>
      <c r="AH24" s="75">
        <f t="shared" si="1"/>
        <v>610</v>
      </c>
      <c r="AI24" s="73">
        <f t="shared" si="1"/>
        <v>640</v>
      </c>
      <c r="AJ24" s="119">
        <f t="shared" si="1"/>
        <v>670</v>
      </c>
      <c r="AK24" s="74">
        <f t="shared" si="1"/>
        <v>700</v>
      </c>
      <c r="AL24" s="74">
        <f t="shared" si="1"/>
        <v>730</v>
      </c>
      <c r="AM24" s="74">
        <f t="shared" si="1"/>
        <v>760</v>
      </c>
      <c r="AN24" s="74">
        <f t="shared" si="1"/>
        <v>790</v>
      </c>
      <c r="AO24" s="75">
        <f t="shared" si="1"/>
        <v>820</v>
      </c>
      <c r="AP24" s="73">
        <f t="shared" si="1"/>
        <v>850</v>
      </c>
      <c r="AQ24" s="74">
        <f t="shared" si="1"/>
        <v>880</v>
      </c>
      <c r="AR24" s="74">
        <f t="shared" si="1"/>
        <v>910</v>
      </c>
      <c r="AS24" s="74">
        <f t="shared" si="1"/>
        <v>940</v>
      </c>
      <c r="AT24" s="74">
        <f t="shared" si="1"/>
        <v>970</v>
      </c>
      <c r="AU24" s="119">
        <f t="shared" si="1"/>
        <v>1000</v>
      </c>
      <c r="AV24" s="75">
        <f t="shared" si="1"/>
        <v>1030</v>
      </c>
      <c r="AW24" s="73">
        <f t="shared" si="1"/>
        <v>1060</v>
      </c>
      <c r="AX24" s="74">
        <f t="shared" si="1"/>
        <v>1090</v>
      </c>
      <c r="AY24" s="74">
        <f t="shared" si="1"/>
        <v>1120</v>
      </c>
      <c r="AZ24" s="74">
        <f t="shared" si="1"/>
        <v>1150</v>
      </c>
      <c r="BA24" s="74">
        <f t="shared" si="1"/>
        <v>1180</v>
      </c>
      <c r="BB24" s="74">
        <f t="shared" si="1"/>
        <v>1210</v>
      </c>
      <c r="BC24" s="75">
        <f t="shared" si="1"/>
        <v>1240</v>
      </c>
      <c r="BE24" s="97"/>
      <c r="BF24" s="98"/>
      <c r="BG24" s="98"/>
      <c r="BH24" s="98"/>
      <c r="BI24" s="98"/>
      <c r="BJ24" s="98"/>
      <c r="BK24" s="98"/>
      <c r="BL24" s="99"/>
    </row>
    <row r="25" spans="12:64" x14ac:dyDescent="0.25">
      <c r="L25" s="7">
        <v>1</v>
      </c>
      <c r="N25" s="110">
        <v>11</v>
      </c>
      <c r="O25" s="9">
        <v>41</v>
      </c>
      <c r="P25" s="9">
        <v>71</v>
      </c>
      <c r="Q25" s="9">
        <v>101</v>
      </c>
      <c r="R25" s="9">
        <v>131</v>
      </c>
      <c r="S25" s="137">
        <v>7</v>
      </c>
      <c r="T25" s="11">
        <v>191</v>
      </c>
      <c r="U25" s="14"/>
      <c r="V25" s="9">
        <v>251</v>
      </c>
      <c r="W25" s="9">
        <v>281</v>
      </c>
      <c r="X25" s="9">
        <v>311</v>
      </c>
      <c r="Y25" s="120"/>
      <c r="Z25" s="137">
        <v>7</v>
      </c>
      <c r="AA25" s="11">
        <v>401</v>
      </c>
      <c r="AB25" s="8"/>
      <c r="AC25" s="9"/>
      <c r="AD25" s="9"/>
      <c r="AE25" s="9"/>
      <c r="AF25" s="9"/>
      <c r="AG25" s="137">
        <v>7</v>
      </c>
      <c r="AH25" s="11"/>
      <c r="AI25" s="8"/>
      <c r="AJ25" s="122"/>
      <c r="AK25" s="9"/>
      <c r="AL25" s="9"/>
      <c r="AM25" s="9"/>
      <c r="AN25" s="137">
        <f>791/$O$18</f>
        <v>113</v>
      </c>
      <c r="AO25" s="11"/>
      <c r="AP25" s="8"/>
      <c r="AQ25" s="9"/>
      <c r="AR25" s="9"/>
      <c r="AS25" s="9"/>
      <c r="AT25" s="9"/>
      <c r="AU25" s="147">
        <v>7</v>
      </c>
      <c r="AV25" s="11"/>
      <c r="AW25" s="32"/>
      <c r="AX25" s="33"/>
      <c r="AY25" s="33"/>
      <c r="AZ25" s="33"/>
      <c r="BA25" s="33"/>
      <c r="BB25" s="137">
        <v>7</v>
      </c>
      <c r="BC25" s="37"/>
      <c r="BE25" s="32"/>
      <c r="BF25" s="13">
        <v>1</v>
      </c>
      <c r="BG25" s="59">
        <f>1+1</f>
        <v>2</v>
      </c>
      <c r="BH25" s="59"/>
      <c r="BI25" s="59">
        <f>4+1</f>
        <v>5</v>
      </c>
      <c r="BJ25" s="59"/>
      <c r="BK25" s="59">
        <f>7+1</f>
        <v>8</v>
      </c>
      <c r="BL25" s="60"/>
    </row>
    <row r="26" spans="12:64" x14ac:dyDescent="0.25">
      <c r="L26" s="7">
        <v>3</v>
      </c>
      <c r="N26" s="80">
        <v>13</v>
      </c>
      <c r="O26" s="9">
        <v>43</v>
      </c>
      <c r="P26" s="9">
        <v>73</v>
      </c>
      <c r="Q26" s="9">
        <v>103</v>
      </c>
      <c r="R26" s="137">
        <v>7</v>
      </c>
      <c r="S26" s="9">
        <v>163</v>
      </c>
      <c r="T26" s="11">
        <v>193</v>
      </c>
      <c r="U26" s="8">
        <v>223</v>
      </c>
      <c r="V26" s="111"/>
      <c r="W26" s="9">
        <v>283</v>
      </c>
      <c r="X26" s="9">
        <v>313</v>
      </c>
      <c r="Y26" s="141">
        <v>7</v>
      </c>
      <c r="Z26" s="9">
        <v>373</v>
      </c>
      <c r="AA26" s="25"/>
      <c r="AB26" s="8"/>
      <c r="AC26" s="9"/>
      <c r="AD26" s="9"/>
      <c r="AE26" s="9"/>
      <c r="AF26" s="137">
        <v>7</v>
      </c>
      <c r="AG26" s="114"/>
      <c r="AH26" s="11"/>
      <c r="AI26" s="8"/>
      <c r="AJ26" s="118"/>
      <c r="AK26" s="9"/>
      <c r="AL26" s="9"/>
      <c r="AM26" s="137">
        <f>763/$O$18</f>
        <v>109</v>
      </c>
      <c r="AN26" s="9"/>
      <c r="AO26" s="11"/>
      <c r="AP26" s="8"/>
      <c r="AQ26" s="9"/>
      <c r="AR26" s="114"/>
      <c r="AS26" s="9"/>
      <c r="AT26" s="137">
        <v>7</v>
      </c>
      <c r="AU26" s="118"/>
      <c r="AV26" s="11"/>
      <c r="AW26" s="32"/>
      <c r="AX26" s="33"/>
      <c r="AY26" s="33"/>
      <c r="AZ26" s="33"/>
      <c r="BA26" s="146">
        <v>7</v>
      </c>
      <c r="BB26" s="33"/>
      <c r="BC26" s="127"/>
      <c r="BE26" s="32"/>
      <c r="BF26" s="13">
        <v>3</v>
      </c>
      <c r="BG26" s="59">
        <f>1+3</f>
        <v>4</v>
      </c>
      <c r="BH26" s="59"/>
      <c r="BI26" s="59">
        <f>4+3</f>
        <v>7</v>
      </c>
      <c r="BJ26" s="59"/>
      <c r="BK26" s="61">
        <f>7+3</f>
        <v>10</v>
      </c>
      <c r="BL26" s="63">
        <f>1+0</f>
        <v>1</v>
      </c>
    </row>
    <row r="27" spans="12:64" x14ac:dyDescent="0.25">
      <c r="L27" s="7">
        <v>7</v>
      </c>
      <c r="N27" s="80">
        <v>17</v>
      </c>
      <c r="O27" s="9">
        <v>47</v>
      </c>
      <c r="P27" s="138">
        <v>7</v>
      </c>
      <c r="Q27" s="9">
        <v>107</v>
      </c>
      <c r="R27" s="9">
        <v>137</v>
      </c>
      <c r="S27" s="9">
        <v>167</v>
      </c>
      <c r="T27" s="11">
        <v>197</v>
      </c>
      <c r="U27" s="8">
        <v>227</v>
      </c>
      <c r="V27" s="9">
        <v>257</v>
      </c>
      <c r="W27" s="137">
        <v>7</v>
      </c>
      <c r="X27" s="9">
        <v>317</v>
      </c>
      <c r="Y27" s="118">
        <v>347</v>
      </c>
      <c r="Z27" s="12"/>
      <c r="AA27" s="113"/>
      <c r="AB27" s="8"/>
      <c r="AC27" s="9"/>
      <c r="AD27" s="137">
        <v>7</v>
      </c>
      <c r="AE27" s="9"/>
      <c r="AF27" s="9"/>
      <c r="AG27" s="9"/>
      <c r="AH27" s="11"/>
      <c r="AI27" s="8"/>
      <c r="AJ27" s="118"/>
      <c r="AK27" s="137">
        <f>707/$O$18</f>
        <v>101</v>
      </c>
      <c r="AL27" s="114"/>
      <c r="AM27" s="9"/>
      <c r="AN27" s="9"/>
      <c r="AO27" s="11"/>
      <c r="AP27" s="8"/>
      <c r="AQ27" s="9"/>
      <c r="AR27" s="137">
        <v>7</v>
      </c>
      <c r="AS27" s="9"/>
      <c r="AT27" s="9"/>
      <c r="AU27" s="118"/>
      <c r="AV27" s="11"/>
      <c r="AW27" s="116"/>
      <c r="AX27" s="33"/>
      <c r="AY27" s="146">
        <v>7</v>
      </c>
      <c r="AZ27" s="33"/>
      <c r="BA27" s="33"/>
      <c r="BB27" s="33"/>
      <c r="BC27" s="37"/>
      <c r="BE27" s="32"/>
      <c r="BF27" s="13">
        <v>7</v>
      </c>
      <c r="BG27" s="59">
        <f>1+7</f>
        <v>8</v>
      </c>
      <c r="BH27" s="59"/>
      <c r="BI27" s="61">
        <f>4+7</f>
        <v>11</v>
      </c>
      <c r="BJ27" s="62">
        <f>1+1</f>
        <v>2</v>
      </c>
      <c r="BK27" s="61">
        <f>7+7</f>
        <v>14</v>
      </c>
      <c r="BL27" s="63">
        <f>1+4</f>
        <v>5</v>
      </c>
    </row>
    <row r="28" spans="12:64" x14ac:dyDescent="0.25">
      <c r="L28" s="7">
        <v>9</v>
      </c>
      <c r="N28" s="8">
        <v>19</v>
      </c>
      <c r="O28" s="137">
        <f>49/O18</f>
        <v>7</v>
      </c>
      <c r="P28" s="9">
        <v>79</v>
      </c>
      <c r="Q28" s="9">
        <v>109</v>
      </c>
      <c r="R28" s="9">
        <v>139</v>
      </c>
      <c r="S28" s="12"/>
      <c r="T28" s="11">
        <v>199</v>
      </c>
      <c r="U28" s="8">
        <v>229</v>
      </c>
      <c r="V28" s="137">
        <v>7</v>
      </c>
      <c r="W28" s="15"/>
      <c r="X28" s="111"/>
      <c r="Y28" s="118">
        <v>349</v>
      </c>
      <c r="Z28" s="9">
        <v>379</v>
      </c>
      <c r="AA28" s="11">
        <v>409</v>
      </c>
      <c r="AB28" s="8"/>
      <c r="AC28" s="137">
        <v>7</v>
      </c>
      <c r="AD28" s="9"/>
      <c r="AE28" s="9"/>
      <c r="AF28" s="9"/>
      <c r="AG28" s="9"/>
      <c r="AH28" s="11"/>
      <c r="AI28" s="116"/>
      <c r="AJ28" s="143">
        <f>679/$O$18</f>
        <v>97</v>
      </c>
      <c r="AK28" s="9"/>
      <c r="AL28" s="9"/>
      <c r="AM28" s="9"/>
      <c r="AN28" s="9"/>
      <c r="AO28" s="11"/>
      <c r="AP28" s="8"/>
      <c r="AQ28" s="137">
        <v>7</v>
      </c>
      <c r="AR28" s="9"/>
      <c r="AS28" s="9"/>
      <c r="AT28" s="114"/>
      <c r="AU28" s="118"/>
      <c r="AV28" s="11"/>
      <c r="AW28" s="32"/>
      <c r="AX28" s="137">
        <v>7</v>
      </c>
      <c r="AY28" s="33"/>
      <c r="AZ28" s="33"/>
      <c r="BA28" s="33"/>
      <c r="BB28" s="33"/>
      <c r="BC28" s="37"/>
      <c r="BE28" s="32"/>
      <c r="BF28" s="13">
        <v>9</v>
      </c>
      <c r="BG28" s="61">
        <f>1+9</f>
        <v>10</v>
      </c>
      <c r="BH28" s="62">
        <f>1+0</f>
        <v>1</v>
      </c>
      <c r="BI28" s="61">
        <f>4+9</f>
        <v>13</v>
      </c>
      <c r="BJ28" s="62">
        <f>1+3</f>
        <v>4</v>
      </c>
      <c r="BK28" s="61">
        <f>7+9</f>
        <v>16</v>
      </c>
      <c r="BL28" s="63">
        <f>1+6</f>
        <v>7</v>
      </c>
    </row>
    <row r="29" spans="12:64" x14ac:dyDescent="0.25">
      <c r="N29" s="73">
        <v>20</v>
      </c>
      <c r="O29" s="74">
        <f>(N29/10+3)*10</f>
        <v>50</v>
      </c>
      <c r="P29" s="74">
        <f>(O29/10+3)*10</f>
        <v>80</v>
      </c>
      <c r="Q29" s="74">
        <f t="shared" ref="Q29:BC29" si="2">(P29/10+3)*10</f>
        <v>110</v>
      </c>
      <c r="R29" s="74">
        <f t="shared" si="2"/>
        <v>140</v>
      </c>
      <c r="S29" s="74">
        <f t="shared" si="2"/>
        <v>170</v>
      </c>
      <c r="T29" s="75">
        <f t="shared" si="2"/>
        <v>200</v>
      </c>
      <c r="U29" s="73">
        <f t="shared" si="2"/>
        <v>230</v>
      </c>
      <c r="V29" s="74">
        <f t="shared" si="2"/>
        <v>260</v>
      </c>
      <c r="W29" s="74">
        <f t="shared" si="2"/>
        <v>290</v>
      </c>
      <c r="X29" s="74">
        <f t="shared" si="2"/>
        <v>320</v>
      </c>
      <c r="Y29" s="119">
        <f t="shared" si="2"/>
        <v>350</v>
      </c>
      <c r="Z29" s="74">
        <f t="shared" si="2"/>
        <v>380</v>
      </c>
      <c r="AA29" s="75">
        <f t="shared" si="2"/>
        <v>410</v>
      </c>
      <c r="AB29" s="73">
        <f t="shared" si="2"/>
        <v>440</v>
      </c>
      <c r="AC29" s="74">
        <f t="shared" si="2"/>
        <v>470</v>
      </c>
      <c r="AD29" s="74">
        <f t="shared" si="2"/>
        <v>500</v>
      </c>
      <c r="AE29" s="74">
        <f t="shared" si="2"/>
        <v>530</v>
      </c>
      <c r="AF29" s="74">
        <f t="shared" si="2"/>
        <v>560</v>
      </c>
      <c r="AG29" s="74">
        <f t="shared" si="2"/>
        <v>590</v>
      </c>
      <c r="AH29" s="75">
        <f t="shared" si="2"/>
        <v>620</v>
      </c>
      <c r="AI29" s="73">
        <f t="shared" si="2"/>
        <v>650</v>
      </c>
      <c r="AJ29" s="119">
        <f t="shared" si="2"/>
        <v>680</v>
      </c>
      <c r="AK29" s="74">
        <f t="shared" si="2"/>
        <v>710</v>
      </c>
      <c r="AL29" s="74">
        <f t="shared" si="2"/>
        <v>740</v>
      </c>
      <c r="AM29" s="74">
        <f t="shared" si="2"/>
        <v>770</v>
      </c>
      <c r="AN29" s="74">
        <f t="shared" si="2"/>
        <v>800</v>
      </c>
      <c r="AO29" s="75">
        <f t="shared" si="2"/>
        <v>830</v>
      </c>
      <c r="AP29" s="73">
        <f t="shared" si="2"/>
        <v>860</v>
      </c>
      <c r="AQ29" s="74">
        <f t="shared" si="2"/>
        <v>890</v>
      </c>
      <c r="AR29" s="74">
        <f t="shared" si="2"/>
        <v>920</v>
      </c>
      <c r="AS29" s="74">
        <f t="shared" si="2"/>
        <v>950</v>
      </c>
      <c r="AT29" s="74">
        <f t="shared" si="2"/>
        <v>980</v>
      </c>
      <c r="AU29" s="119">
        <f t="shared" si="2"/>
        <v>1010</v>
      </c>
      <c r="AV29" s="75">
        <f t="shared" si="2"/>
        <v>1040</v>
      </c>
      <c r="AW29" s="73">
        <f t="shared" si="2"/>
        <v>1070</v>
      </c>
      <c r="AX29" s="74">
        <f t="shared" si="2"/>
        <v>1100</v>
      </c>
      <c r="AY29" s="74">
        <f t="shared" si="2"/>
        <v>1130</v>
      </c>
      <c r="AZ29" s="74">
        <f t="shared" si="2"/>
        <v>1160</v>
      </c>
      <c r="BA29" s="74">
        <f t="shared" si="2"/>
        <v>1190</v>
      </c>
      <c r="BB29" s="74">
        <f t="shared" si="2"/>
        <v>1220</v>
      </c>
      <c r="BC29" s="75">
        <f t="shared" si="2"/>
        <v>1250</v>
      </c>
      <c r="BE29" s="97"/>
      <c r="BF29" s="98"/>
      <c r="BG29" s="98"/>
      <c r="BH29" s="98"/>
      <c r="BI29" s="98"/>
      <c r="BJ29" s="98"/>
      <c r="BK29" s="98"/>
      <c r="BL29" s="99"/>
    </row>
    <row r="30" spans="12:64" x14ac:dyDescent="0.25">
      <c r="L30" s="7">
        <v>3</v>
      </c>
      <c r="N30" s="8">
        <v>23</v>
      </c>
      <c r="O30" s="9">
        <v>53</v>
      </c>
      <c r="P30" s="9">
        <v>83</v>
      </c>
      <c r="Q30" s="9">
        <v>113</v>
      </c>
      <c r="R30" s="111"/>
      <c r="S30" s="9">
        <v>173</v>
      </c>
      <c r="T30" s="140">
        <v>7</v>
      </c>
      <c r="U30" s="8">
        <v>233</v>
      </c>
      <c r="V30" s="9">
        <v>263</v>
      </c>
      <c r="W30" s="9">
        <v>293</v>
      </c>
      <c r="X30" s="15"/>
      <c r="Y30" s="118">
        <v>353</v>
      </c>
      <c r="Z30" s="9">
        <v>383</v>
      </c>
      <c r="AA30" s="140">
        <v>7</v>
      </c>
      <c r="AB30" s="8"/>
      <c r="AC30" s="114"/>
      <c r="AD30" s="9"/>
      <c r="AE30" s="9"/>
      <c r="AF30" s="9"/>
      <c r="AG30" s="9"/>
      <c r="AH30" s="140">
        <v>7</v>
      </c>
      <c r="AI30" s="8"/>
      <c r="AJ30" s="118"/>
      <c r="AK30" s="9"/>
      <c r="AL30" s="9"/>
      <c r="AM30" s="9"/>
      <c r="AN30" s="114"/>
      <c r="AO30" s="144">
        <f>833/$O$18</f>
        <v>119</v>
      </c>
      <c r="AP30" s="8"/>
      <c r="AQ30" s="9"/>
      <c r="AR30" s="9"/>
      <c r="AS30" s="9"/>
      <c r="AT30" s="9"/>
      <c r="AU30" s="118"/>
      <c r="AV30" s="140">
        <v>7</v>
      </c>
      <c r="AW30" s="32"/>
      <c r="AX30" s="33"/>
      <c r="AY30" s="114"/>
      <c r="AZ30" s="33"/>
      <c r="BA30" s="33"/>
      <c r="BB30" s="33"/>
      <c r="BC30" s="140">
        <v>7</v>
      </c>
      <c r="BE30" s="32"/>
      <c r="BF30" s="13">
        <v>3</v>
      </c>
      <c r="BG30" s="59">
        <f>2+3</f>
        <v>5</v>
      </c>
      <c r="BH30" s="59"/>
      <c r="BI30" s="59">
        <f>5+3</f>
        <v>8</v>
      </c>
      <c r="BJ30" s="59"/>
      <c r="BK30" s="61">
        <f>8+3</f>
        <v>11</v>
      </c>
      <c r="BL30" s="63">
        <f>1+1</f>
        <v>2</v>
      </c>
    </row>
    <row r="31" spans="12:64" ht="15.75" thickBot="1" x14ac:dyDescent="0.3">
      <c r="L31" s="7">
        <v>9</v>
      </c>
      <c r="N31" s="16">
        <v>29</v>
      </c>
      <c r="O31" s="17">
        <v>59</v>
      </c>
      <c r="P31" s="17">
        <v>89</v>
      </c>
      <c r="Q31" s="139">
        <v>7</v>
      </c>
      <c r="R31" s="17">
        <v>149</v>
      </c>
      <c r="S31" s="17">
        <v>179</v>
      </c>
      <c r="T31" s="112"/>
      <c r="U31" s="16">
        <v>239</v>
      </c>
      <c r="V31" s="17">
        <v>269</v>
      </c>
      <c r="W31" s="18"/>
      <c r="X31" s="139">
        <v>7</v>
      </c>
      <c r="Y31" s="121">
        <v>359</v>
      </c>
      <c r="Z31" s="17">
        <v>389</v>
      </c>
      <c r="AA31" s="19"/>
      <c r="AB31" s="16"/>
      <c r="AC31" s="17"/>
      <c r="AD31" s="17"/>
      <c r="AE31" s="115">
        <v>7</v>
      </c>
      <c r="AF31" s="17"/>
      <c r="AG31" s="17"/>
      <c r="AH31" s="19"/>
      <c r="AI31" s="16"/>
      <c r="AJ31" s="121"/>
      <c r="AK31" s="17"/>
      <c r="AL31" s="139">
        <f>749/$O$18</f>
        <v>107</v>
      </c>
      <c r="AM31" s="17"/>
      <c r="AN31" s="17"/>
      <c r="AO31" s="19"/>
      <c r="AP31" s="123"/>
      <c r="AQ31" s="17"/>
      <c r="AR31" s="17"/>
      <c r="AS31" s="148">
        <v>7</v>
      </c>
      <c r="AT31" s="17"/>
      <c r="AU31" s="121"/>
      <c r="AV31" s="19"/>
      <c r="AW31" s="30"/>
      <c r="AX31" s="34"/>
      <c r="AY31" s="34"/>
      <c r="AZ31" s="148">
        <v>7</v>
      </c>
      <c r="BA31" s="124"/>
      <c r="BB31" s="34"/>
      <c r="BC31" s="35"/>
      <c r="BE31" s="30"/>
      <c r="BF31" s="64">
        <v>9</v>
      </c>
      <c r="BG31" s="65">
        <f>2+9</f>
        <v>11</v>
      </c>
      <c r="BH31" s="66">
        <f>1+1</f>
        <v>2</v>
      </c>
      <c r="BI31" s="65">
        <f>5+9</f>
        <v>14</v>
      </c>
      <c r="BJ31" s="66">
        <f>1+4</f>
        <v>5</v>
      </c>
      <c r="BK31" s="65">
        <f>8+9</f>
        <v>17</v>
      </c>
      <c r="BL31" s="67">
        <f>1+7</f>
        <v>8</v>
      </c>
    </row>
    <row r="32" spans="12:64" ht="15.75" thickBot="1" x14ac:dyDescent="0.3">
      <c r="N32" s="131" t="s">
        <v>2</v>
      </c>
      <c r="O32" s="132" t="s">
        <v>3</v>
      </c>
      <c r="P32" s="133" t="s">
        <v>4</v>
      </c>
      <c r="Q32" s="3">
        <v>4</v>
      </c>
      <c r="R32" s="4">
        <v>5</v>
      </c>
      <c r="S32" s="5">
        <v>6</v>
      </c>
      <c r="T32" s="3">
        <v>7</v>
      </c>
      <c r="U32" s="4">
        <v>8</v>
      </c>
      <c r="V32" s="5">
        <v>9</v>
      </c>
      <c r="W32" s="3">
        <v>10</v>
      </c>
      <c r="X32" s="4">
        <v>11</v>
      </c>
      <c r="Y32" s="5">
        <v>12</v>
      </c>
      <c r="Z32" s="3">
        <v>13</v>
      </c>
      <c r="AA32" s="4">
        <v>14</v>
      </c>
      <c r="AB32" s="5">
        <v>15</v>
      </c>
      <c r="AC32" s="3">
        <v>16</v>
      </c>
      <c r="AD32" s="4">
        <v>17</v>
      </c>
      <c r="AE32" s="5">
        <v>18</v>
      </c>
      <c r="AF32" s="3">
        <v>19</v>
      </c>
      <c r="AG32" s="4">
        <v>20</v>
      </c>
      <c r="AH32" s="5">
        <v>21</v>
      </c>
      <c r="AI32" s="3">
        <v>22</v>
      </c>
      <c r="AJ32" s="4">
        <v>23</v>
      </c>
      <c r="AK32" s="5">
        <v>24</v>
      </c>
      <c r="AL32" s="3">
        <v>25</v>
      </c>
      <c r="AM32" s="4">
        <v>26</v>
      </c>
      <c r="AN32" s="5">
        <v>27</v>
      </c>
      <c r="AO32" s="3">
        <v>28</v>
      </c>
      <c r="AP32" s="4">
        <v>29</v>
      </c>
      <c r="AQ32" s="5">
        <v>30</v>
      </c>
      <c r="AR32" s="3">
        <v>31</v>
      </c>
      <c r="AS32" s="4">
        <v>32</v>
      </c>
      <c r="AT32" s="5">
        <v>33</v>
      </c>
      <c r="AU32" s="3">
        <v>34</v>
      </c>
      <c r="AV32" s="4">
        <v>35</v>
      </c>
      <c r="AW32" s="5">
        <v>36</v>
      </c>
      <c r="AX32" s="3">
        <v>37</v>
      </c>
      <c r="AY32" s="4">
        <v>38</v>
      </c>
      <c r="AZ32" s="5">
        <v>39</v>
      </c>
      <c r="BA32" s="3">
        <v>40</v>
      </c>
      <c r="BB32" s="4">
        <v>41</v>
      </c>
      <c r="BC32" s="5">
        <v>42</v>
      </c>
      <c r="BG32" s="128" t="s">
        <v>2</v>
      </c>
      <c r="BH32" s="129"/>
      <c r="BI32" s="129" t="s">
        <v>3</v>
      </c>
      <c r="BJ32" s="129"/>
      <c r="BK32" s="129" t="s">
        <v>4</v>
      </c>
      <c r="BL32" s="130"/>
    </row>
    <row r="33" spans="12:90" s="36" customFormat="1" x14ac:dyDescent="0.25">
      <c r="N33" s="134"/>
      <c r="O33" s="134" t="s">
        <v>5</v>
      </c>
      <c r="P33" s="134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G33" s="135"/>
      <c r="BH33" s="135"/>
      <c r="BI33" s="135"/>
      <c r="BJ33" s="135"/>
      <c r="BK33" s="135"/>
      <c r="BL33" s="135"/>
    </row>
    <row r="34" spans="12:90" ht="15.75" thickBot="1" x14ac:dyDescent="0.3"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</row>
    <row r="35" spans="12:90" ht="15.75" thickBot="1" x14ac:dyDescent="0.3">
      <c r="L35" s="42">
        <v>7</v>
      </c>
      <c r="N35" s="100">
        <v>1</v>
      </c>
      <c r="O35" s="50">
        <v>7</v>
      </c>
      <c r="P35" s="50">
        <v>11</v>
      </c>
      <c r="Q35" s="101">
        <v>13</v>
      </c>
      <c r="R35" s="50">
        <v>19</v>
      </c>
      <c r="S35" s="50">
        <v>23</v>
      </c>
      <c r="T35" s="56">
        <v>29</v>
      </c>
      <c r="U35" s="52">
        <v>31</v>
      </c>
      <c r="BE35" s="27"/>
      <c r="BF35" s="27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</row>
    <row r="36" spans="12:90" ht="15.75" thickBot="1" x14ac:dyDescent="0.3">
      <c r="L36" s="42"/>
      <c r="N36" s="102"/>
      <c r="O36" s="103"/>
      <c r="P36" s="103"/>
      <c r="Q36" s="10">
        <v>17</v>
      </c>
      <c r="R36" s="103"/>
      <c r="S36" s="103"/>
      <c r="T36" s="104"/>
      <c r="U36" s="52"/>
      <c r="AJ36" s="23"/>
      <c r="AK36" s="23"/>
      <c r="AL36" s="23"/>
      <c r="AM36" s="23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</row>
    <row r="37" spans="12:90" ht="15.75" thickBot="1" x14ac:dyDescent="0.3">
      <c r="L37" s="42">
        <v>11</v>
      </c>
      <c r="N37" s="43">
        <v>1</v>
      </c>
      <c r="O37" s="21"/>
      <c r="P37" s="45">
        <v>7</v>
      </c>
      <c r="Q37" s="21"/>
      <c r="R37" s="4">
        <v>11</v>
      </c>
      <c r="S37" s="21"/>
      <c r="T37" s="4">
        <v>17</v>
      </c>
      <c r="U37" s="21"/>
      <c r="V37" s="45">
        <v>23</v>
      </c>
      <c r="W37" s="21"/>
      <c r="X37" s="40">
        <v>29</v>
      </c>
      <c r="Y37" s="39">
        <v>31</v>
      </c>
    </row>
    <row r="38" spans="12:90" ht="15.75" thickBot="1" x14ac:dyDescent="0.3">
      <c r="L38" s="42"/>
      <c r="N38" s="44"/>
      <c r="O38" s="9"/>
      <c r="P38" s="46"/>
      <c r="Q38" s="9"/>
      <c r="R38" s="9">
        <v>13</v>
      </c>
      <c r="S38" s="9"/>
      <c r="T38" s="9">
        <v>19</v>
      </c>
      <c r="U38" s="9"/>
      <c r="V38" s="46"/>
      <c r="W38" s="9"/>
      <c r="X38" s="41"/>
      <c r="Y38" s="39"/>
      <c r="AM38" s="23"/>
      <c r="AN38" s="23"/>
      <c r="AO38" s="23"/>
      <c r="AP38" s="23"/>
      <c r="AV38" s="38"/>
    </row>
    <row r="39" spans="12:90" ht="15.75" thickBot="1" x14ac:dyDescent="0.3">
      <c r="L39" s="28">
        <v>13</v>
      </c>
      <c r="N39" s="20">
        <v>1</v>
      </c>
      <c r="O39" s="21"/>
      <c r="P39" s="21"/>
      <c r="Q39" s="21">
        <v>7</v>
      </c>
      <c r="R39" s="21">
        <v>11</v>
      </c>
      <c r="S39" s="21">
        <v>13</v>
      </c>
      <c r="T39" s="21"/>
      <c r="U39" s="21">
        <v>17</v>
      </c>
      <c r="V39" s="21">
        <v>19</v>
      </c>
      <c r="W39" s="21">
        <v>23</v>
      </c>
      <c r="X39" s="21"/>
      <c r="Y39" s="21"/>
      <c r="Z39" s="22">
        <v>29</v>
      </c>
      <c r="AA39" s="2">
        <v>31</v>
      </c>
    </row>
    <row r="40" spans="12:90" ht="15.75" thickBot="1" x14ac:dyDescent="0.3">
      <c r="L40" s="28">
        <v>17</v>
      </c>
      <c r="N40" s="20">
        <v>1</v>
      </c>
      <c r="O40" s="21"/>
      <c r="P40" s="21"/>
      <c r="Q40" s="21">
        <v>7</v>
      </c>
      <c r="R40" s="21"/>
      <c r="S40" s="21"/>
      <c r="T40" s="21">
        <v>11</v>
      </c>
      <c r="U40" s="21">
        <v>13</v>
      </c>
      <c r="V40" s="21"/>
      <c r="W40" s="21">
        <v>17</v>
      </c>
      <c r="X40" s="21">
        <v>19</v>
      </c>
      <c r="Y40" s="21"/>
      <c r="Z40" s="21"/>
      <c r="AA40" s="21">
        <v>23</v>
      </c>
      <c r="AB40" s="21"/>
      <c r="AC40" s="21"/>
      <c r="AD40" s="22">
        <v>29</v>
      </c>
      <c r="AE40" s="2">
        <v>31</v>
      </c>
    </row>
    <row r="41" spans="12:90" ht="15.75" thickBot="1" x14ac:dyDescent="0.3">
      <c r="L41" s="28">
        <v>19</v>
      </c>
      <c r="N41" s="20">
        <v>1</v>
      </c>
      <c r="O41" s="21"/>
      <c r="P41" s="21"/>
      <c r="Q41" s="21"/>
      <c r="R41" s="21">
        <v>7</v>
      </c>
      <c r="S41" s="21"/>
      <c r="T41" s="21">
        <v>11</v>
      </c>
      <c r="U41" s="21"/>
      <c r="V41" s="21">
        <v>13</v>
      </c>
      <c r="W41" s="21"/>
      <c r="X41" s="21">
        <v>17</v>
      </c>
      <c r="Y41" s="21"/>
      <c r="Z41" s="21">
        <v>19</v>
      </c>
      <c r="AA41" s="21"/>
      <c r="AB41" s="21">
        <v>23</v>
      </c>
      <c r="AC41" s="21"/>
      <c r="AD41" s="21"/>
      <c r="AE41" s="21"/>
      <c r="AF41" s="22">
        <v>29</v>
      </c>
      <c r="AG41" s="2">
        <v>31</v>
      </c>
    </row>
    <row r="42" spans="12:90" ht="15.75" thickBot="1" x14ac:dyDescent="0.3">
      <c r="L42" s="28">
        <v>23</v>
      </c>
      <c r="N42" s="20">
        <v>1</v>
      </c>
      <c r="O42" s="21"/>
      <c r="P42" s="21"/>
      <c r="Q42" s="21"/>
      <c r="R42" s="21"/>
      <c r="S42" s="21">
        <v>7</v>
      </c>
      <c r="T42" s="21"/>
      <c r="U42" s="21"/>
      <c r="V42" s="21">
        <v>11</v>
      </c>
      <c r="W42" s="21">
        <v>13</v>
      </c>
      <c r="X42" s="21"/>
      <c r="Y42" s="21"/>
      <c r="Z42" s="21"/>
      <c r="AA42" s="21">
        <v>17</v>
      </c>
      <c r="AB42" s="21">
        <v>19</v>
      </c>
      <c r="AC42" s="21"/>
      <c r="AD42" s="21"/>
      <c r="AE42" s="21">
        <v>23</v>
      </c>
      <c r="AF42" s="21"/>
      <c r="AG42" s="21"/>
      <c r="AH42" s="21"/>
      <c r="AI42" s="21"/>
      <c r="AJ42" s="22">
        <v>29</v>
      </c>
      <c r="AK42" s="2">
        <v>31</v>
      </c>
    </row>
    <row r="43" spans="12:90" ht="15.75" thickBot="1" x14ac:dyDescent="0.3">
      <c r="L43" s="28">
        <v>29</v>
      </c>
      <c r="N43" s="20">
        <v>1</v>
      </c>
      <c r="O43" s="21"/>
      <c r="P43" s="21"/>
      <c r="Q43" s="21"/>
      <c r="R43" s="21"/>
      <c r="S43" s="21"/>
      <c r="T43" s="21">
        <v>7</v>
      </c>
      <c r="U43" s="21"/>
      <c r="V43" s="21"/>
      <c r="W43" s="21"/>
      <c r="X43" s="21">
        <v>11</v>
      </c>
      <c r="Y43" s="21"/>
      <c r="Z43" s="21">
        <v>13</v>
      </c>
      <c r="AA43" s="21"/>
      <c r="AB43" s="21"/>
      <c r="AC43" s="21"/>
      <c r="AD43" s="21">
        <v>17</v>
      </c>
      <c r="AE43" s="21"/>
      <c r="AF43" s="21">
        <v>19</v>
      </c>
      <c r="AG43" s="21"/>
      <c r="AH43" s="21"/>
      <c r="AI43" s="21"/>
      <c r="AJ43" s="21">
        <v>23</v>
      </c>
      <c r="AK43" s="21"/>
      <c r="AL43" s="21"/>
      <c r="AM43" s="21"/>
      <c r="AN43" s="21"/>
      <c r="AO43" s="21"/>
      <c r="AP43" s="22">
        <v>29</v>
      </c>
      <c r="AQ43" s="2">
        <v>31</v>
      </c>
    </row>
    <row r="44" spans="12:90" ht="15.75" thickBot="1" x14ac:dyDescent="0.3">
      <c r="L44" s="28">
        <v>31</v>
      </c>
      <c r="N44" s="20"/>
      <c r="O44" s="21">
        <v>1</v>
      </c>
      <c r="P44" s="21"/>
      <c r="Q44" s="21"/>
      <c r="R44" s="21"/>
      <c r="S44" s="21"/>
      <c r="T44" s="21"/>
      <c r="U44" s="21">
        <v>7</v>
      </c>
      <c r="V44" s="21"/>
      <c r="W44" s="21"/>
      <c r="X44" s="21"/>
      <c r="Y44" s="21">
        <v>11</v>
      </c>
      <c r="Z44" s="21"/>
      <c r="AA44" s="21">
        <v>13</v>
      </c>
      <c r="AB44" s="21"/>
      <c r="AC44" s="21"/>
      <c r="AD44" s="21"/>
      <c r="AE44" s="21">
        <v>17</v>
      </c>
      <c r="AF44" s="21"/>
      <c r="AG44" s="21">
        <v>19</v>
      </c>
      <c r="AH44" s="21"/>
      <c r="AI44" s="21"/>
      <c r="AJ44" s="21"/>
      <c r="AK44" s="21">
        <v>23</v>
      </c>
      <c r="AL44" s="21"/>
      <c r="AM44" s="21"/>
      <c r="AN44" s="21"/>
      <c r="AO44" s="21"/>
      <c r="AP44" s="21"/>
      <c r="AQ44" s="21">
        <v>29</v>
      </c>
      <c r="AR44" s="22"/>
      <c r="AT44" s="2">
        <v>31</v>
      </c>
    </row>
    <row r="45" spans="12:90" ht="15.75" thickBot="1" x14ac:dyDescent="0.3">
      <c r="L45" s="28">
        <v>37</v>
      </c>
      <c r="N45" s="3"/>
      <c r="O45" s="4">
        <v>1</v>
      </c>
      <c r="P45" s="4"/>
      <c r="Q45" s="4"/>
      <c r="R45" s="4"/>
      <c r="S45" s="4"/>
      <c r="T45" s="4"/>
      <c r="U45" s="4"/>
      <c r="V45" s="4">
        <v>7</v>
      </c>
      <c r="W45" s="4"/>
      <c r="X45" s="4"/>
      <c r="Y45" s="4"/>
      <c r="Z45" s="4"/>
      <c r="AA45" s="4">
        <v>11</v>
      </c>
      <c r="AB45" s="4"/>
      <c r="AC45" s="4"/>
      <c r="AD45" s="4">
        <v>13</v>
      </c>
      <c r="AE45" s="4"/>
      <c r="AF45" s="4"/>
      <c r="AG45" s="4"/>
      <c r="AH45" s="4">
        <v>17</v>
      </c>
      <c r="AI45" s="4"/>
      <c r="AJ45" s="4"/>
      <c r="AK45" s="4">
        <v>19</v>
      </c>
      <c r="AL45" s="4"/>
      <c r="AM45" s="4"/>
      <c r="AN45" s="4"/>
      <c r="AO45" s="4"/>
      <c r="AP45" s="4">
        <v>23</v>
      </c>
      <c r="AQ45" s="4"/>
      <c r="AR45" s="4"/>
      <c r="AS45" s="4"/>
      <c r="AT45" s="4"/>
      <c r="AU45" s="4"/>
      <c r="AV45" s="4"/>
      <c r="AW45" s="4">
        <v>29</v>
      </c>
      <c r="AX45" s="5"/>
      <c r="AZ45" s="2">
        <v>31</v>
      </c>
    </row>
    <row r="47" spans="12:90" ht="15.75" thickBot="1" x14ac:dyDescent="0.3"/>
    <row r="48" spans="12:90" ht="15.75" thickBot="1" x14ac:dyDescent="0.3">
      <c r="L48" s="28">
        <v>7</v>
      </c>
      <c r="AH48" s="43">
        <v>1</v>
      </c>
      <c r="AI48" s="45">
        <v>7</v>
      </c>
      <c r="AJ48" s="45">
        <v>11</v>
      </c>
      <c r="AK48" s="4">
        <v>13</v>
      </c>
      <c r="AL48" s="45">
        <v>19</v>
      </c>
      <c r="AM48" s="45">
        <v>23</v>
      </c>
      <c r="AN48" s="40">
        <v>29</v>
      </c>
      <c r="AO48" s="2">
        <v>31</v>
      </c>
    </row>
    <row r="49" spans="12:60" ht="15.75" thickBot="1" x14ac:dyDescent="0.3">
      <c r="L49" s="28"/>
      <c r="AH49" s="49"/>
      <c r="AI49" s="47"/>
      <c r="AJ49" s="47"/>
      <c r="AK49" s="9">
        <v>17</v>
      </c>
      <c r="AL49" s="47"/>
      <c r="AM49" s="47"/>
      <c r="AN49" s="48"/>
    </row>
    <row r="50" spans="12:60" ht="15.75" thickBot="1" x14ac:dyDescent="0.3">
      <c r="L50" s="28">
        <v>11</v>
      </c>
      <c r="AF50" s="43">
        <v>1</v>
      </c>
      <c r="AG50" s="21"/>
      <c r="AH50" s="45">
        <v>7</v>
      </c>
      <c r="AI50" s="21"/>
      <c r="AJ50" s="4">
        <v>11</v>
      </c>
      <c r="AK50" s="21"/>
      <c r="AL50" s="4">
        <v>17</v>
      </c>
      <c r="AM50" s="21"/>
      <c r="AN50" s="45">
        <v>23</v>
      </c>
      <c r="AO50" s="21"/>
      <c r="AP50" s="40">
        <v>29</v>
      </c>
      <c r="AQ50" s="44">
        <v>31</v>
      </c>
    </row>
    <row r="51" spans="12:60" ht="15.75" thickBot="1" x14ac:dyDescent="0.3">
      <c r="L51" s="28"/>
      <c r="AF51" s="49"/>
      <c r="AG51" s="9"/>
      <c r="AH51" s="47"/>
      <c r="AI51" s="9"/>
      <c r="AJ51" s="9">
        <v>13</v>
      </c>
      <c r="AK51" s="9"/>
      <c r="AL51" s="9">
        <v>19</v>
      </c>
      <c r="AM51" s="9"/>
      <c r="AN51" s="47"/>
      <c r="AO51" s="9"/>
      <c r="AP51" s="48"/>
      <c r="AQ51" s="49"/>
    </row>
    <row r="52" spans="12:60" ht="15.75" thickBot="1" x14ac:dyDescent="0.3">
      <c r="L52" s="28">
        <v>13</v>
      </c>
      <c r="AE52" s="20">
        <v>1</v>
      </c>
      <c r="AF52" s="21"/>
      <c r="AG52" s="21"/>
      <c r="AH52" s="21">
        <v>7</v>
      </c>
      <c r="AI52" s="21">
        <v>11</v>
      </c>
      <c r="AJ52" s="21">
        <v>13</v>
      </c>
      <c r="AK52" s="21"/>
      <c r="AL52" s="21">
        <v>17</v>
      </c>
      <c r="AM52" s="21">
        <v>19</v>
      </c>
      <c r="AN52" s="21">
        <v>23</v>
      </c>
      <c r="AO52" s="21"/>
      <c r="AP52" s="21"/>
      <c r="AQ52" s="22">
        <v>29</v>
      </c>
      <c r="AR52" s="2">
        <v>31</v>
      </c>
    </row>
    <row r="53" spans="12:60" ht="15.75" thickBot="1" x14ac:dyDescent="0.3">
      <c r="L53" s="28">
        <v>17</v>
      </c>
      <c r="AC53" s="20">
        <v>1</v>
      </c>
      <c r="AD53" s="21"/>
      <c r="AE53" s="21"/>
      <c r="AF53" s="21">
        <v>7</v>
      </c>
      <c r="AG53" s="21"/>
      <c r="AH53" s="21"/>
      <c r="AI53" s="21">
        <v>11</v>
      </c>
      <c r="AJ53" s="21">
        <v>13</v>
      </c>
      <c r="AK53" s="21"/>
      <c r="AL53" s="21">
        <v>17</v>
      </c>
      <c r="AM53" s="21">
        <v>19</v>
      </c>
      <c r="AN53" s="21"/>
      <c r="AO53" s="21"/>
      <c r="AP53" s="21">
        <v>23</v>
      </c>
      <c r="AQ53" s="21"/>
      <c r="AR53" s="21"/>
      <c r="AS53" s="22">
        <v>29</v>
      </c>
      <c r="AT53" s="2">
        <v>31</v>
      </c>
    </row>
    <row r="54" spans="12:60" ht="15.75" thickBot="1" x14ac:dyDescent="0.3">
      <c r="L54" s="28">
        <v>19</v>
      </c>
      <c r="AB54" s="20">
        <v>1</v>
      </c>
      <c r="AC54" s="21"/>
      <c r="AD54" s="21"/>
      <c r="AE54" s="21"/>
      <c r="AF54" s="21">
        <v>7</v>
      </c>
      <c r="AG54" s="21"/>
      <c r="AH54" s="21">
        <v>11</v>
      </c>
      <c r="AI54" s="21"/>
      <c r="AJ54" s="21">
        <v>13</v>
      </c>
      <c r="AK54" s="21"/>
      <c r="AL54" s="21">
        <v>17</v>
      </c>
      <c r="AM54" s="21"/>
      <c r="AN54" s="21">
        <v>19</v>
      </c>
      <c r="AO54" s="21"/>
      <c r="AP54" s="21">
        <v>23</v>
      </c>
      <c r="AQ54" s="21"/>
      <c r="AR54" s="21"/>
      <c r="AS54" s="21"/>
      <c r="AT54" s="22">
        <v>29</v>
      </c>
      <c r="AU54" s="2">
        <v>31</v>
      </c>
    </row>
    <row r="55" spans="12:60" ht="15.75" thickBot="1" x14ac:dyDescent="0.3">
      <c r="L55" s="28">
        <v>23</v>
      </c>
      <c r="Z55" s="20">
        <v>1</v>
      </c>
      <c r="AA55" s="21"/>
      <c r="AB55" s="21"/>
      <c r="AC55" s="21"/>
      <c r="AD55" s="21"/>
      <c r="AE55" s="21">
        <v>7</v>
      </c>
      <c r="AF55" s="21"/>
      <c r="AG55" s="21"/>
      <c r="AH55" s="21">
        <v>11</v>
      </c>
      <c r="AI55" s="21">
        <v>13</v>
      </c>
      <c r="AJ55" s="21"/>
      <c r="AK55" s="21"/>
      <c r="AL55" s="21"/>
      <c r="AM55" s="21">
        <v>17</v>
      </c>
      <c r="AN55" s="21">
        <v>19</v>
      </c>
      <c r="AO55" s="21"/>
      <c r="AP55" s="21"/>
      <c r="AQ55" s="21">
        <v>23</v>
      </c>
      <c r="AR55" s="21"/>
      <c r="AS55" s="21"/>
      <c r="AT55" s="21"/>
      <c r="AU55" s="21"/>
      <c r="AV55" s="22">
        <v>29</v>
      </c>
      <c r="AW55" s="2">
        <v>31</v>
      </c>
    </row>
    <row r="56" spans="12:60" ht="15.75" thickBot="1" x14ac:dyDescent="0.3">
      <c r="L56" s="28">
        <v>29</v>
      </c>
      <c r="W56" s="20">
        <v>1</v>
      </c>
      <c r="X56" s="21"/>
      <c r="Y56" s="21"/>
      <c r="Z56" s="21"/>
      <c r="AA56" s="21"/>
      <c r="AB56" s="21"/>
      <c r="AC56" s="21">
        <v>7</v>
      </c>
      <c r="AD56" s="21"/>
      <c r="AE56" s="21"/>
      <c r="AF56" s="21"/>
      <c r="AG56" s="21">
        <v>11</v>
      </c>
      <c r="AH56" s="21"/>
      <c r="AI56" s="21">
        <v>13</v>
      </c>
      <c r="AJ56" s="21"/>
      <c r="AK56" s="21"/>
      <c r="AL56" s="21"/>
      <c r="AM56" s="21">
        <v>17</v>
      </c>
      <c r="AN56" s="21"/>
      <c r="AO56" s="21">
        <v>19</v>
      </c>
      <c r="AP56" s="21"/>
      <c r="AQ56" s="21"/>
      <c r="AR56" s="21"/>
      <c r="AS56" s="21">
        <v>23</v>
      </c>
      <c r="AT56" s="21"/>
      <c r="AU56" s="21"/>
      <c r="AV56" s="21"/>
      <c r="AW56" s="21"/>
      <c r="AX56" s="21"/>
      <c r="AY56" s="22">
        <v>29</v>
      </c>
      <c r="AZ56" s="2">
        <v>31</v>
      </c>
    </row>
    <row r="57" spans="12:60" ht="15.75" thickBot="1" x14ac:dyDescent="0.3">
      <c r="L57" s="28">
        <v>31</v>
      </c>
      <c r="V57" s="20"/>
      <c r="W57" s="21">
        <v>1</v>
      </c>
      <c r="X57" s="21"/>
      <c r="Y57" s="21"/>
      <c r="Z57" s="21"/>
      <c r="AA57" s="21"/>
      <c r="AB57" s="21"/>
      <c r="AC57" s="21">
        <v>7</v>
      </c>
      <c r="AD57" s="21"/>
      <c r="AE57" s="21"/>
      <c r="AF57" s="21"/>
      <c r="AG57" s="21">
        <v>11</v>
      </c>
      <c r="AH57" s="21"/>
      <c r="AI57" s="21">
        <v>13</v>
      </c>
      <c r="AJ57" s="21"/>
      <c r="AK57" s="21"/>
      <c r="AL57" s="21"/>
      <c r="AM57" s="21">
        <v>17</v>
      </c>
      <c r="AN57" s="21"/>
      <c r="AO57" s="21">
        <v>19</v>
      </c>
      <c r="AP57" s="21"/>
      <c r="AQ57" s="21"/>
      <c r="AR57" s="21"/>
      <c r="AS57" s="21">
        <v>23</v>
      </c>
      <c r="AT57" s="21"/>
      <c r="AU57" s="21"/>
      <c r="AV57" s="21"/>
      <c r="AW57" s="21"/>
      <c r="AX57" s="21"/>
      <c r="AY57" s="21">
        <v>29</v>
      </c>
      <c r="AZ57" s="22"/>
      <c r="BB57" s="2">
        <v>31</v>
      </c>
    </row>
    <row r="58" spans="12:60" ht="15.75" thickBot="1" x14ac:dyDescent="0.3">
      <c r="L58" s="28">
        <v>37</v>
      </c>
      <c r="S58" s="20"/>
      <c r="T58" s="21">
        <v>1</v>
      </c>
      <c r="U58" s="21"/>
      <c r="V58" s="21"/>
      <c r="W58" s="21"/>
      <c r="X58" s="21"/>
      <c r="Y58" s="21"/>
      <c r="Z58" s="21"/>
      <c r="AA58" s="21">
        <v>7</v>
      </c>
      <c r="AB58" s="21"/>
      <c r="AC58" s="21"/>
      <c r="AD58" s="21"/>
      <c r="AE58" s="21"/>
      <c r="AF58" s="21">
        <v>11</v>
      </c>
      <c r="AG58" s="21"/>
      <c r="AH58" s="21"/>
      <c r="AI58" s="21">
        <v>13</v>
      </c>
      <c r="AJ58" s="21"/>
      <c r="AK58" s="21"/>
      <c r="AL58" s="21"/>
      <c r="AM58" s="21">
        <v>17</v>
      </c>
      <c r="AN58" s="21"/>
      <c r="AO58" s="21"/>
      <c r="AP58" s="21">
        <v>19</v>
      </c>
      <c r="AQ58" s="21"/>
      <c r="AR58" s="21"/>
      <c r="AS58" s="21"/>
      <c r="AT58" s="21"/>
      <c r="AU58" s="21">
        <v>23</v>
      </c>
      <c r="AV58" s="21"/>
      <c r="AW58" s="21"/>
      <c r="AX58" s="21"/>
      <c r="AY58" s="21"/>
      <c r="AZ58" s="21"/>
      <c r="BA58" s="21"/>
      <c r="BB58" s="21">
        <v>29</v>
      </c>
      <c r="BC58" s="22"/>
      <c r="BE58" s="2">
        <v>31</v>
      </c>
    </row>
    <row r="59" spans="12:60" ht="15.75" thickBot="1" x14ac:dyDescent="0.3">
      <c r="L59" s="28">
        <v>41</v>
      </c>
      <c r="Q59" s="20"/>
      <c r="R59" s="21">
        <v>1</v>
      </c>
      <c r="S59" s="21"/>
      <c r="T59" s="21"/>
      <c r="U59" s="21"/>
      <c r="V59" s="21"/>
      <c r="W59" s="21"/>
      <c r="X59" s="21"/>
      <c r="Y59" s="21">
        <v>7</v>
      </c>
      <c r="Z59" s="21"/>
      <c r="AA59" s="21"/>
      <c r="AB59" s="21"/>
      <c r="AC59" s="21"/>
      <c r="AD59" s="21"/>
      <c r="AE59" s="21">
        <v>11</v>
      </c>
      <c r="AF59" s="21"/>
      <c r="AG59" s="21"/>
      <c r="AH59" s="21">
        <v>13</v>
      </c>
      <c r="AI59" s="21"/>
      <c r="AJ59" s="21"/>
      <c r="AK59" s="21"/>
      <c r="AL59" s="21"/>
      <c r="AM59" s="21"/>
      <c r="AN59" s="21">
        <v>17</v>
      </c>
      <c r="AO59" s="21"/>
      <c r="AP59" s="21"/>
      <c r="AQ59" s="21">
        <v>19</v>
      </c>
      <c r="AR59" s="21"/>
      <c r="AS59" s="21"/>
      <c r="AT59" s="21"/>
      <c r="AU59" s="21"/>
      <c r="AV59" s="21"/>
      <c r="AW59" s="21">
        <v>23</v>
      </c>
      <c r="AX59" s="21"/>
      <c r="AY59" s="21"/>
      <c r="AZ59" s="21"/>
      <c r="BA59" s="21"/>
      <c r="BB59" s="21"/>
      <c r="BC59" s="21"/>
      <c r="BD59" s="21">
        <v>29</v>
      </c>
      <c r="BE59" s="22"/>
      <c r="BG59" s="2">
        <v>31</v>
      </c>
    </row>
    <row r="60" spans="12:60" ht="15.75" thickBot="1" x14ac:dyDescent="0.3">
      <c r="L60" s="28">
        <v>43</v>
      </c>
      <c r="P60" s="3"/>
      <c r="Q60" s="4">
        <v>1</v>
      </c>
      <c r="R60" s="4"/>
      <c r="S60" s="4"/>
      <c r="T60" s="4"/>
      <c r="U60" s="4"/>
      <c r="V60" s="4"/>
      <c r="W60" s="4"/>
      <c r="X60" s="4"/>
      <c r="Y60" s="4">
        <v>7</v>
      </c>
      <c r="Z60" s="4"/>
      <c r="AA60" s="4"/>
      <c r="AB60" s="4"/>
      <c r="AC60" s="4"/>
      <c r="AD60" s="4"/>
      <c r="AE60" s="4">
        <v>11</v>
      </c>
      <c r="AF60" s="4"/>
      <c r="AG60" s="4"/>
      <c r="AH60" s="4">
        <v>13</v>
      </c>
      <c r="AI60" s="4"/>
      <c r="AJ60" s="4"/>
      <c r="AK60" s="4"/>
      <c r="AL60" s="4"/>
      <c r="AM60" s="4"/>
      <c r="AN60" s="4">
        <v>17</v>
      </c>
      <c r="AO60" s="4"/>
      <c r="AP60" s="4"/>
      <c r="AQ60" s="4">
        <v>19</v>
      </c>
      <c r="AR60" s="4"/>
      <c r="AS60" s="4"/>
      <c r="AT60" s="4"/>
      <c r="AU60" s="4"/>
      <c r="AV60" s="4"/>
      <c r="AW60" s="4">
        <v>23</v>
      </c>
      <c r="AX60" s="4"/>
      <c r="AY60" s="4"/>
      <c r="AZ60" s="4"/>
      <c r="BA60" s="4"/>
      <c r="BB60" s="4"/>
      <c r="BC60" s="4"/>
      <c r="BD60" s="4"/>
      <c r="BE60" s="4">
        <v>29</v>
      </c>
      <c r="BF60" s="5"/>
      <c r="BH60" s="2">
        <v>31</v>
      </c>
    </row>
    <row r="61" spans="12:60" x14ac:dyDescent="0.25">
      <c r="P61" s="2">
        <v>1</v>
      </c>
      <c r="Q61" s="2">
        <v>2</v>
      </c>
      <c r="R61" s="2">
        <v>3</v>
      </c>
      <c r="S61" s="2">
        <v>4</v>
      </c>
      <c r="T61" s="2">
        <v>5</v>
      </c>
      <c r="U61" s="2">
        <v>6</v>
      </c>
      <c r="V61" s="2">
        <v>7</v>
      </c>
      <c r="W61" s="2">
        <v>8</v>
      </c>
      <c r="X61" s="2">
        <v>9</v>
      </c>
      <c r="Y61" s="2">
        <v>10</v>
      </c>
      <c r="Z61" s="2">
        <v>11</v>
      </c>
      <c r="AA61" s="2">
        <v>12</v>
      </c>
      <c r="AB61" s="2">
        <v>13</v>
      </c>
      <c r="AC61" s="2">
        <v>14</v>
      </c>
      <c r="AD61" s="2">
        <v>15</v>
      </c>
      <c r="AE61" s="2">
        <v>16</v>
      </c>
      <c r="AF61" s="2">
        <v>17</v>
      </c>
      <c r="AG61" s="2">
        <v>18</v>
      </c>
      <c r="AH61" s="2">
        <v>19</v>
      </c>
      <c r="AI61" s="2">
        <v>20</v>
      </c>
      <c r="AJ61" s="2">
        <v>21</v>
      </c>
      <c r="AK61" s="2">
        <v>22</v>
      </c>
      <c r="AL61" s="2">
        <v>23</v>
      </c>
      <c r="AM61" s="2">
        <v>24</v>
      </c>
      <c r="AN61" s="2">
        <v>25</v>
      </c>
      <c r="AO61" s="2">
        <v>26</v>
      </c>
      <c r="AP61" s="2">
        <v>27</v>
      </c>
      <c r="AQ61" s="2">
        <v>28</v>
      </c>
      <c r="AR61" s="2">
        <v>29</v>
      </c>
      <c r="AS61" s="2">
        <v>30</v>
      </c>
      <c r="AT61" s="2">
        <v>31</v>
      </c>
      <c r="AU61" s="2">
        <v>32</v>
      </c>
      <c r="AV61" s="2">
        <v>33</v>
      </c>
      <c r="AW61" s="2">
        <v>34</v>
      </c>
      <c r="AX61" s="2">
        <v>35</v>
      </c>
      <c r="AY61" s="2">
        <v>36</v>
      </c>
      <c r="AZ61" s="2">
        <v>37</v>
      </c>
      <c r="BA61" s="2">
        <v>38</v>
      </c>
      <c r="BB61" s="2">
        <v>39</v>
      </c>
      <c r="BC61" s="2">
        <v>40</v>
      </c>
      <c r="BD61" s="2">
        <v>41</v>
      </c>
      <c r="BE61" s="2">
        <v>42</v>
      </c>
      <c r="BF61" s="2">
        <v>43</v>
      </c>
    </row>
  </sheetData>
  <mergeCells count="81">
    <mergeCell ref="AF50:AF51"/>
    <mergeCell ref="AH50:AH51"/>
    <mergeCell ref="AN50:AN51"/>
    <mergeCell ref="AP50:AP51"/>
    <mergeCell ref="AQ50:AQ51"/>
    <mergeCell ref="BB18:BB19"/>
    <mergeCell ref="BC18:BC19"/>
    <mergeCell ref="BE24:BL24"/>
    <mergeCell ref="BE29:BL29"/>
    <mergeCell ref="AH48:AH49"/>
    <mergeCell ref="AI48:AI49"/>
    <mergeCell ref="AJ48:AJ49"/>
    <mergeCell ref="AL48:AL49"/>
    <mergeCell ref="AM48:AM49"/>
    <mergeCell ref="AN48:AN49"/>
    <mergeCell ref="BG32:BH32"/>
    <mergeCell ref="BI32:BJ32"/>
    <mergeCell ref="BK32:BL32"/>
    <mergeCell ref="AV18:AV19"/>
    <mergeCell ref="AW18:AW19"/>
    <mergeCell ref="AX18:AX19"/>
    <mergeCell ref="AY18:AY19"/>
    <mergeCell ref="BA18:BA19"/>
    <mergeCell ref="AD18:AD19"/>
    <mergeCell ref="AF18:AF19"/>
    <mergeCell ref="AG18:AG19"/>
    <mergeCell ref="AH18:AH19"/>
    <mergeCell ref="AI18:AI19"/>
    <mergeCell ref="Y18:Y19"/>
    <mergeCell ref="Z18:Z19"/>
    <mergeCell ref="AA18:AA19"/>
    <mergeCell ref="AB18:AB19"/>
    <mergeCell ref="AC18:AC19"/>
    <mergeCell ref="BE20:BG21"/>
    <mergeCell ref="BH20:BL21"/>
    <mergeCell ref="AJ18:AJ19"/>
    <mergeCell ref="AK18:AK19"/>
    <mergeCell ref="AM18:AM19"/>
    <mergeCell ref="AN18:AN19"/>
    <mergeCell ref="AO18:AO19"/>
    <mergeCell ref="AP18:AP19"/>
    <mergeCell ref="AQ18:AQ19"/>
    <mergeCell ref="AR18:AR19"/>
    <mergeCell ref="AT18:AT19"/>
    <mergeCell ref="AU18:AU19"/>
    <mergeCell ref="S18:S19"/>
    <mergeCell ref="T18:T19"/>
    <mergeCell ref="L18:L19"/>
    <mergeCell ref="N18:N19"/>
    <mergeCell ref="O18:O19"/>
    <mergeCell ref="P18:P19"/>
    <mergeCell ref="R18:R19"/>
    <mergeCell ref="U18:U19"/>
    <mergeCell ref="V18:V19"/>
    <mergeCell ref="W18:W19"/>
    <mergeCell ref="Y37:Y38"/>
    <mergeCell ref="U35:U36"/>
    <mergeCell ref="T35:T36"/>
    <mergeCell ref="L37:L38"/>
    <mergeCell ref="N37:N38"/>
    <mergeCell ref="P37:P38"/>
    <mergeCell ref="V37:V38"/>
    <mergeCell ref="X37:X38"/>
    <mergeCell ref="S35:S36"/>
    <mergeCell ref="L35:L36"/>
    <mergeCell ref="N35:N36"/>
    <mergeCell ref="O35:O36"/>
    <mergeCell ref="P35:P36"/>
    <mergeCell ref="R35:R36"/>
    <mergeCell ref="BK22:BL22"/>
    <mergeCell ref="BK25:BL25"/>
    <mergeCell ref="BG22:BH22"/>
    <mergeCell ref="BI22:BJ22"/>
    <mergeCell ref="BI25:BJ25"/>
    <mergeCell ref="BI26:BJ26"/>
    <mergeCell ref="BI30:BJ30"/>
    <mergeCell ref="BG30:BH30"/>
    <mergeCell ref="BG27:BH27"/>
    <mergeCell ref="BG26:BH26"/>
    <mergeCell ref="BG25:BH25"/>
    <mergeCell ref="BG23:BH2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</dc:creator>
  <cp:lastModifiedBy>Roman</cp:lastModifiedBy>
  <dcterms:created xsi:type="dcterms:W3CDTF">2022-01-23T20:05:05Z</dcterms:created>
  <dcterms:modified xsi:type="dcterms:W3CDTF">2022-01-31T03:10:39Z</dcterms:modified>
</cp:coreProperties>
</file>